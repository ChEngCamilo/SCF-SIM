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milo\Desktop\"/>
    </mc:Choice>
  </mc:AlternateContent>
  <xr:revisionPtr revIDLastSave="0" documentId="13_ncr:1_{D0E0A213-7D13-49D1-8CAB-283997D6EDB6}" xr6:coauthVersionLast="47" xr6:coauthVersionMax="47" xr10:uidLastSave="{00000000-0000-0000-0000-000000000000}"/>
  <bookViews>
    <workbookView xWindow="-120" yWindow="-120" windowWidth="29040" windowHeight="15720" tabRatio="768" activeTab="2" xr2:uid="{98F245C9-3BF7-40F4-B355-2DDD5656AB99}"/>
  </bookViews>
  <sheets>
    <sheet name="SCALE-UP DATA" sheetId="13" r:id="rId1"/>
    <sheet name="FLOWSHEET ZONE 100" sheetId="17" r:id="rId2"/>
    <sheet name="FLOWSHEET ZONE 200" sheetId="8" r:id="rId3"/>
    <sheet name="FLOWSHEE ZONE 300" sheetId="15" r:id="rId4"/>
    <sheet name="ECONOMIC ANALYSIS" sheetId="14" r:id="rId5"/>
    <sheet name="SENSITIVITY ANALYSIS" sheetId="18" r:id="rId6"/>
    <sheet name="CP PROP REFRIGERANT" sheetId="16" state="hidden" r:id="rId7"/>
    <sheet name="EOS" sheetId="2" state="hidden" r:id="rId8"/>
    <sheet name="SUPERCRITICAL VISCOSITY" sheetId="11" state="hidden" r:id="rId9"/>
    <sheet name="PRESSURE DROP" sheetId="12" state="hidden" r:id="rId10"/>
  </sheets>
  <functionGroups builtInGroupCount="19"/>
  <definedNames>
    <definedName name="AMBIENT_TEMP">'SCALE-UP DATA'!$C$4</definedName>
    <definedName name="BED_PACK_DENSITY">'SCALE-UP DATA'!$C$21</definedName>
    <definedName name="BED_PARTICLE_DIAMETER">'SCALE-UP DATA'!$C$20</definedName>
    <definedName name="BED_SHAPE_FACTOR">'SCALE-UP DATA'!$C$19</definedName>
    <definedName name="BED_VOID_FRACTION">'SCALE-UP DATA'!$C$22</definedName>
    <definedName name="CO2_COST">'SCALE-UP DATA'!$G$21</definedName>
    <definedName name="CO2_LOSS">'SCALE-UP DATA'!$G$8</definedName>
    <definedName name="COST_FACTOR">'SCALE-UP DATA'!$G$9</definedName>
    <definedName name="CUBE_PACKED_FACTOR">'SCALE-UP DATA'!$G$11</definedName>
    <definedName name="DF_SIFT">'SCALE-UP DATA'!$G$3</definedName>
    <definedName name="EE_COST">'SCALE-UP DATA'!$G$15</definedName>
    <definedName name="EE_ZONE100">'FLOWSHEET ZONE 100'!$Z$66</definedName>
    <definedName name="EE_ZONE200">'FLOWSHEET ZONE 200'!$AP$80</definedName>
    <definedName name="EE_ZONE300">'FLOWSHEE ZONE 300'!$G$50</definedName>
    <definedName name="ENERGY_FACTOR">'SCALE-UP DATA'!$G$10</definedName>
    <definedName name="ENGINEER_SALARY">'SCALE-UP DATA'!$G$17</definedName>
    <definedName name="EQ_RATIO">'SCALE-UP DATA'!$G$25</definedName>
    <definedName name="EXT_TIME">'SCALE-UP DATA'!$C$14</definedName>
    <definedName name="EXT_YIELD">'SCALE-UP DATA'!$C$12</definedName>
    <definedName name="EXTRACT_SALE_PRICE">'SCALE-UP DATA'!$G$31</definedName>
    <definedName name="EXTRACTOR_DIAMETER">'SCALE-UP DATA'!$C$24</definedName>
    <definedName name="EXTRACTOR_LENGTH">'SCALE-UP DATA'!$C$25</definedName>
    <definedName name="FEED">'SCALE-UP DATA'!$C$35</definedName>
    <definedName name="HEX_PDROP">'SCALE-UP DATA'!$G$7</definedName>
    <definedName name="INTEREST_RATE">'SCALE-UP DATA'!$G$29</definedName>
    <definedName name="L_D_RATIO">'SCALE-UP DATA'!$G$4</definedName>
    <definedName name="MASS_FLOW">'SCALE-UP DATA'!$C$17</definedName>
    <definedName name="MAX_FILL_VOLUME">'SCALE-UP DATA'!$G$13</definedName>
    <definedName name="MAX_YIELD">'SCALE-UP DATA'!$C$13</definedName>
    <definedName name="MOISTURE_FINAL">'SCALE-UP DATA'!$C$29</definedName>
    <definedName name="MOISTURE_INITIAL">'SCALE-UP DATA'!$C$28</definedName>
    <definedName name="N_EXTRACTION_PER_OPERDAY">'SCALE-UP DATA'!$C$16</definedName>
    <definedName name="N2_COST">'SCALE-UP DATA'!$G$22</definedName>
    <definedName name="OPER_DAY">'SCALE-UP DATA'!$C$5</definedName>
    <definedName name="OPER_YEAR">'SCALE-UP DATA'!$C$6</definedName>
    <definedName name="OPERATION_PRESS">'SCALE-UP DATA'!$C$10</definedName>
    <definedName name="OPERATION_TEMP">'SCALE-UP DATA'!$C$11</definedName>
    <definedName name="OPERATOR_SALARY">'SCALE-UP DATA'!$G$18</definedName>
    <definedName name="PRESSURE_ATM">'SCALE-UP DATA'!$C$3</definedName>
    <definedName name="PRODUCT">'FLOWSHEET ZONE 200'!$AP$46</definedName>
    <definedName name="PUMP_DRIVER_EFF">'SCALE-UP DATA'!$G$6</definedName>
    <definedName name="PUMP_EFFICIENCY">'SCALE-UP DATA'!$G$5</definedName>
    <definedName name="RAW_TOTAL">'SCALE-UP DATA'!$C$31</definedName>
    <definedName name="RAW_TOTAL_DRY">'SCALE-UP DATA'!$C$32</definedName>
    <definedName name="RAW_TOTAL_DRYSIFT">'SCALE-UP DATA'!$C$34</definedName>
    <definedName name="RAW_TOTAL_LOSS">'SCALE-UP DATA'!$C$33</definedName>
    <definedName name="RM_COST">'SCALE-UP DATA'!$G$23</definedName>
    <definedName name="SEED_BULK_DENSITY">'SCALE-UP DATA'!$C$30</definedName>
    <definedName name="SOLVENT_FEED_RATIO">'SCALE-UP DATA'!$C$15</definedName>
    <definedName name="solver_adj" localSheetId="6" hidden="1">'CP PROP REFRIGERANT'!$H$6:$H$8</definedName>
    <definedName name="solver_adj" localSheetId="4" hidden="1">'ECONOMIC ANALYSIS'!$L$53</definedName>
    <definedName name="solver_adj" localSheetId="7" hidden="1">EOS!#REF!</definedName>
    <definedName name="solver_adj" localSheetId="1" hidden="1">'FLOWSHEET ZONE 100'!$J$4</definedName>
    <definedName name="solver_adj" localSheetId="2" hidden="1">'FLOWSHEET ZONE 200'!$M$76</definedName>
    <definedName name="solver_adj" localSheetId="8" hidden="1">'SUPERCRITICAL VISCOSITY'!$K$4:$K$7</definedName>
    <definedName name="solver_cvg" localSheetId="6" hidden="1">0.0001</definedName>
    <definedName name="solver_cvg" localSheetId="4" hidden="1">0.0001</definedName>
    <definedName name="solver_cvg" localSheetId="7" hidden="1">0.0001</definedName>
    <definedName name="solver_cvg" localSheetId="1" hidden="1">0.0001</definedName>
    <definedName name="solver_cvg" localSheetId="2" hidden="1">0.0001</definedName>
    <definedName name="solver_cvg" localSheetId="8" hidden="1">0.0001</definedName>
    <definedName name="solver_drv" localSheetId="6" hidden="1">1</definedName>
    <definedName name="solver_drv" localSheetId="4" hidden="1">1</definedName>
    <definedName name="solver_drv" localSheetId="7" hidden="1">1</definedName>
    <definedName name="solver_drv" localSheetId="1" hidden="1">1</definedName>
    <definedName name="solver_drv" localSheetId="2" hidden="1">1</definedName>
    <definedName name="solver_drv" localSheetId="8" hidden="1">1</definedName>
    <definedName name="solver_eng" localSheetId="6" hidden="1">1</definedName>
    <definedName name="solver_eng" localSheetId="4" hidden="1">1</definedName>
    <definedName name="solver_eng" localSheetId="7" hidden="1">1</definedName>
    <definedName name="solver_eng" localSheetId="1" hidden="1">1</definedName>
    <definedName name="solver_eng" localSheetId="2" hidden="1">1</definedName>
    <definedName name="solver_eng" localSheetId="8" hidden="1">1</definedName>
    <definedName name="solver_est" localSheetId="6" hidden="1">1</definedName>
    <definedName name="solver_est" localSheetId="4" hidden="1">1</definedName>
    <definedName name="solver_est" localSheetId="7" hidden="1">1</definedName>
    <definedName name="solver_est" localSheetId="1" hidden="1">1</definedName>
    <definedName name="solver_est" localSheetId="2" hidden="1">1</definedName>
    <definedName name="solver_est" localSheetId="8" hidden="1">1</definedName>
    <definedName name="solver_itr" localSheetId="6" hidden="1">2147483647</definedName>
    <definedName name="solver_itr" localSheetId="4" hidden="1">2147483647</definedName>
    <definedName name="solver_itr" localSheetId="7" hidden="1">2147483647</definedName>
    <definedName name="solver_itr" localSheetId="1" hidden="1">2147483647</definedName>
    <definedName name="solver_itr" localSheetId="2" hidden="1">2147483647</definedName>
    <definedName name="solver_itr" localSheetId="8" hidden="1">2147483647</definedName>
    <definedName name="solver_mip" localSheetId="6" hidden="1">2147483647</definedName>
    <definedName name="solver_mip" localSheetId="4" hidden="1">2147483647</definedName>
    <definedName name="solver_mip" localSheetId="7" hidden="1">2147483647</definedName>
    <definedName name="solver_mip" localSheetId="1" hidden="1">2147483647</definedName>
    <definedName name="solver_mip" localSheetId="2" hidden="1">2147483647</definedName>
    <definedName name="solver_mip" localSheetId="8" hidden="1">2147483647</definedName>
    <definedName name="solver_mni" localSheetId="6" hidden="1">30</definedName>
    <definedName name="solver_mni" localSheetId="4" hidden="1">30</definedName>
    <definedName name="solver_mni" localSheetId="7" hidden="1">30</definedName>
    <definedName name="solver_mni" localSheetId="1" hidden="1">30</definedName>
    <definedName name="solver_mni" localSheetId="2" hidden="1">30</definedName>
    <definedName name="solver_mni" localSheetId="8" hidden="1">30</definedName>
    <definedName name="solver_mrt" localSheetId="6" hidden="1">0.075</definedName>
    <definedName name="solver_mrt" localSheetId="4" hidden="1">0.075</definedName>
    <definedName name="solver_mrt" localSheetId="7" hidden="1">0.075</definedName>
    <definedName name="solver_mrt" localSheetId="1" hidden="1">0.075</definedName>
    <definedName name="solver_mrt" localSheetId="2" hidden="1">0.075</definedName>
    <definedName name="solver_mrt" localSheetId="8" hidden="1">0.075</definedName>
    <definedName name="solver_msl" localSheetId="6" hidden="1">2</definedName>
    <definedName name="solver_msl" localSheetId="4" hidden="1">2</definedName>
    <definedName name="solver_msl" localSheetId="7" hidden="1">2</definedName>
    <definedName name="solver_msl" localSheetId="1" hidden="1">2</definedName>
    <definedName name="solver_msl" localSheetId="2" hidden="1">2</definedName>
    <definedName name="solver_msl" localSheetId="8" hidden="1">2</definedName>
    <definedName name="solver_neg" localSheetId="6" hidden="1">2</definedName>
    <definedName name="solver_neg" localSheetId="4" hidden="1">1</definedName>
    <definedName name="solver_neg" localSheetId="7" hidden="1">1</definedName>
    <definedName name="solver_neg" localSheetId="1" hidden="1">1</definedName>
    <definedName name="solver_neg" localSheetId="2" hidden="1">1</definedName>
    <definedName name="solver_neg" localSheetId="8" hidden="1">2</definedName>
    <definedName name="solver_nod" localSheetId="6" hidden="1">2147483647</definedName>
    <definedName name="solver_nod" localSheetId="4" hidden="1">2147483647</definedName>
    <definedName name="solver_nod" localSheetId="7" hidden="1">2147483647</definedName>
    <definedName name="solver_nod" localSheetId="1" hidden="1">2147483647</definedName>
    <definedName name="solver_nod" localSheetId="2" hidden="1">2147483647</definedName>
    <definedName name="solver_nod" localSheetId="8" hidden="1">2147483647</definedName>
    <definedName name="solver_num" localSheetId="6" hidden="1">0</definedName>
    <definedName name="solver_num" localSheetId="4" hidden="1">0</definedName>
    <definedName name="solver_num" localSheetId="7" hidden="1">0</definedName>
    <definedName name="solver_num" localSheetId="1" hidden="1">0</definedName>
    <definedName name="solver_num" localSheetId="2" hidden="1">0</definedName>
    <definedName name="solver_num" localSheetId="8" hidden="1">0</definedName>
    <definedName name="solver_nwt" localSheetId="6" hidden="1">1</definedName>
    <definedName name="solver_nwt" localSheetId="4" hidden="1">1</definedName>
    <definedName name="solver_nwt" localSheetId="7" hidden="1">1</definedName>
    <definedName name="solver_nwt" localSheetId="1" hidden="1">1</definedName>
    <definedName name="solver_nwt" localSheetId="2" hidden="1">1</definedName>
    <definedName name="solver_nwt" localSheetId="8" hidden="1">1</definedName>
    <definedName name="solver_opt" localSheetId="6" hidden="1">'CP PROP REFRIGERANT'!$H$10</definedName>
    <definedName name="solver_opt" localSheetId="4" hidden="1">'ECONOMIC ANALYSIS'!$Q$45</definedName>
    <definedName name="solver_opt" localSheetId="7" hidden="1">EOS!#REF!</definedName>
    <definedName name="solver_opt" localSheetId="1" hidden="1">'FLOWSHEET ZONE 100'!$K$11</definedName>
    <definedName name="solver_opt" localSheetId="2" hidden="1">'FLOWSHEET ZONE 200'!$V$62</definedName>
    <definedName name="solver_opt" localSheetId="8" hidden="1">'SUPERCRITICAL VISCOSITY'!$K$9</definedName>
    <definedName name="solver_pre" localSheetId="6" hidden="1">0.000001</definedName>
    <definedName name="solver_pre" localSheetId="4" hidden="1">0.000001</definedName>
    <definedName name="solver_pre" localSheetId="7" hidden="1">0.000001</definedName>
    <definedName name="solver_pre" localSheetId="1" hidden="1">0.000001</definedName>
    <definedName name="solver_pre" localSheetId="2" hidden="1">0.000001</definedName>
    <definedName name="solver_pre" localSheetId="8" hidden="1">0.000001</definedName>
    <definedName name="solver_rbv" localSheetId="6" hidden="1">1</definedName>
    <definedName name="solver_rbv" localSheetId="4" hidden="1">1</definedName>
    <definedName name="solver_rbv" localSheetId="7" hidden="1">1</definedName>
    <definedName name="solver_rbv" localSheetId="1" hidden="1">1</definedName>
    <definedName name="solver_rbv" localSheetId="2" hidden="1">1</definedName>
    <definedName name="solver_rbv" localSheetId="8" hidden="1">1</definedName>
    <definedName name="solver_rlx" localSheetId="6" hidden="1">2</definedName>
    <definedName name="solver_rlx" localSheetId="4" hidden="1">2</definedName>
    <definedName name="solver_rlx" localSheetId="7" hidden="1">2</definedName>
    <definedName name="solver_rlx" localSheetId="1" hidden="1">2</definedName>
    <definedName name="solver_rlx" localSheetId="2" hidden="1">2</definedName>
    <definedName name="solver_rlx" localSheetId="8" hidden="1">2</definedName>
    <definedName name="solver_rsd" localSheetId="6" hidden="1">0</definedName>
    <definedName name="solver_rsd" localSheetId="4" hidden="1">0</definedName>
    <definedName name="solver_rsd" localSheetId="7" hidden="1">0</definedName>
    <definedName name="solver_rsd" localSheetId="1" hidden="1">0</definedName>
    <definedName name="solver_rsd" localSheetId="2" hidden="1">0</definedName>
    <definedName name="solver_rsd" localSheetId="8" hidden="1">0</definedName>
    <definedName name="solver_scl" localSheetId="6" hidden="1">1</definedName>
    <definedName name="solver_scl" localSheetId="4" hidden="1">1</definedName>
    <definedName name="solver_scl" localSheetId="7" hidden="1">1</definedName>
    <definedName name="solver_scl" localSheetId="1" hidden="1">1</definedName>
    <definedName name="solver_scl" localSheetId="2" hidden="1">1</definedName>
    <definedName name="solver_scl" localSheetId="8" hidden="1">1</definedName>
    <definedName name="solver_sho" localSheetId="6" hidden="1">2</definedName>
    <definedName name="solver_sho" localSheetId="4" hidden="1">2</definedName>
    <definedName name="solver_sho" localSheetId="7" hidden="1">2</definedName>
    <definedName name="solver_sho" localSheetId="1" hidden="1">2</definedName>
    <definedName name="solver_sho" localSheetId="2" hidden="1">2</definedName>
    <definedName name="solver_sho" localSheetId="8" hidden="1">2</definedName>
    <definedName name="solver_ssz" localSheetId="6" hidden="1">100</definedName>
    <definedName name="solver_ssz" localSheetId="4" hidden="1">100</definedName>
    <definedName name="solver_ssz" localSheetId="7" hidden="1">100</definedName>
    <definedName name="solver_ssz" localSheetId="1" hidden="1">100</definedName>
    <definedName name="solver_ssz" localSheetId="2" hidden="1">100</definedName>
    <definedName name="solver_ssz" localSheetId="8" hidden="1">100</definedName>
    <definedName name="solver_tim" localSheetId="6" hidden="1">2147483647</definedName>
    <definedName name="solver_tim" localSheetId="4" hidden="1">2147483647</definedName>
    <definedName name="solver_tim" localSheetId="7" hidden="1">2147483647</definedName>
    <definedName name="solver_tim" localSheetId="1" hidden="1">2147483647</definedName>
    <definedName name="solver_tim" localSheetId="2" hidden="1">2147483647</definedName>
    <definedName name="solver_tim" localSheetId="8" hidden="1">2147483647</definedName>
    <definedName name="solver_tol" localSheetId="6" hidden="1">0.01</definedName>
    <definedName name="solver_tol" localSheetId="4" hidden="1">0.01</definedName>
    <definedName name="solver_tol" localSheetId="7" hidden="1">0.01</definedName>
    <definedName name="solver_tol" localSheetId="1" hidden="1">0.01</definedName>
    <definedName name="solver_tol" localSheetId="2" hidden="1">0.01</definedName>
    <definedName name="solver_tol" localSheetId="8" hidden="1">0.01</definedName>
    <definedName name="solver_typ" localSheetId="6" hidden="1">2</definedName>
    <definedName name="solver_typ" localSheetId="4" hidden="1">3</definedName>
    <definedName name="solver_typ" localSheetId="7" hidden="1">3</definedName>
    <definedName name="solver_typ" localSheetId="1" hidden="1">3</definedName>
    <definedName name="solver_typ" localSheetId="2" hidden="1">2</definedName>
    <definedName name="solver_typ" localSheetId="8" hidden="1">2</definedName>
    <definedName name="solver_val" localSheetId="6" hidden="1">0</definedName>
    <definedName name="solver_val" localSheetId="4" hidden="1">0.1975</definedName>
    <definedName name="solver_val" localSheetId="7" hidden="1">0.0066686</definedName>
    <definedName name="solver_val" localSheetId="1" hidden="1">0</definedName>
    <definedName name="solver_val" localSheetId="2" hidden="1">0</definedName>
    <definedName name="solver_val" localSheetId="8" hidden="1">0</definedName>
    <definedName name="solver_ver" localSheetId="6" hidden="1">3</definedName>
    <definedName name="solver_ver" localSheetId="4" hidden="1">3</definedName>
    <definedName name="solver_ver" localSheetId="7" hidden="1">3</definedName>
    <definedName name="solver_ver" localSheetId="1" hidden="1">3</definedName>
    <definedName name="solver_ver" localSheetId="2" hidden="1">3</definedName>
    <definedName name="solver_ver" localSheetId="8" hidden="1">3</definedName>
    <definedName name="SPHERE_PACKED_FACTOR">'SCALE-UP DATA'!$G$12</definedName>
    <definedName name="SUPERVISOR_SALARY">'SCALE-UP DATA'!$G$19</definedName>
    <definedName name="TAX_RATE">'SCALE-UP DATA'!$G$27</definedName>
    <definedName name="TREMA">'SCALE-UP DATA'!#REF!</definedName>
    <definedName name="WACC">'ECONOMIC ANALYSIS'!#REF!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8" l="1"/>
  <c r="L43" i="14"/>
  <c r="E40" i="8" a="1"/>
  <c r="I90" i="8" a="1"/>
  <c r="E40" i="8" l="1"/>
  <c r="I90" i="8"/>
  <c r="I91" i="8" a="1"/>
  <c r="I91" i="8" l="1"/>
  <c r="BB55" i="8"/>
  <c r="BG51" i="8"/>
  <c r="O6" i="15"/>
  <c r="C15" i="18" l="1"/>
  <c r="C14" i="18"/>
  <c r="C13" i="18"/>
  <c r="C12" i="18"/>
  <c r="K57" i="14"/>
  <c r="K20" i="14"/>
  <c r="Q56" i="14" s="1"/>
  <c r="K31" i="14"/>
  <c r="L58" i="14" s="1"/>
  <c r="K58" i="14" l="1"/>
  <c r="M58" i="14" s="1"/>
  <c r="Q27" i="14"/>
  <c r="Q34" i="14" s="1"/>
  <c r="K34" i="14"/>
  <c r="L57" i="14" s="1"/>
  <c r="Q13" i="14"/>
  <c r="K24" i="14"/>
  <c r="M57" i="14" l="1"/>
  <c r="M60" i="14" s="1"/>
  <c r="Q44" i="14" s="1"/>
  <c r="K11" i="14"/>
  <c r="E4" i="17"/>
  <c r="M11" i="17" s="1"/>
  <c r="AG71" i="17" l="1"/>
  <c r="F13" i="18"/>
  <c r="F14" i="18"/>
  <c r="F15" i="18"/>
  <c r="F12" i="18"/>
  <c r="E13" i="18"/>
  <c r="E14" i="18"/>
  <c r="E15" i="18"/>
  <c r="E12" i="18"/>
  <c r="D13" i="18"/>
  <c r="D14" i="18"/>
  <c r="D15" i="18"/>
  <c r="D12" i="18"/>
  <c r="F22" i="14"/>
  <c r="G21" i="13" l="1"/>
  <c r="K8" i="14" s="1"/>
  <c r="G22" i="13"/>
  <c r="G23" i="13"/>
  <c r="K7" i="14" s="1"/>
  <c r="F46" i="14"/>
  <c r="BA82" i="8"/>
  <c r="BD82" i="8" s="1"/>
  <c r="BB82" i="8"/>
  <c r="BA83" i="8"/>
  <c r="BB83" i="8" s="1"/>
  <c r="BA84" i="8"/>
  <c r="BB84" i="8" s="1"/>
  <c r="BD84" i="8"/>
  <c r="F21" i="14"/>
  <c r="BB45" i="17"/>
  <c r="BB47" i="17" s="1"/>
  <c r="BD47" i="17"/>
  <c r="BD48" i="17" s="1"/>
  <c r="F14" i="14" s="1"/>
  <c r="Z65" i="17"/>
  <c r="Z66" i="17" s="1"/>
  <c r="BB30" i="17"/>
  <c r="BB31" i="17" s="1"/>
  <c r="F11" i="14" s="1"/>
  <c r="BC30" i="17"/>
  <c r="BC31" i="17" s="1"/>
  <c r="F12" i="14" s="1"/>
  <c r="AJ12" i="15"/>
  <c r="AI12" i="15"/>
  <c r="BC13" i="17"/>
  <c r="BC16" i="17" s="1"/>
  <c r="BC17" i="17" s="1"/>
  <c r="F7" i="14" s="1"/>
  <c r="BF13" i="17"/>
  <c r="BF16" i="17" s="1"/>
  <c r="BF17" i="17" s="1"/>
  <c r="F10" i="14" s="1"/>
  <c r="BE15" i="17"/>
  <c r="BE14" i="17"/>
  <c r="BE13" i="17"/>
  <c r="BD16" i="17"/>
  <c r="BD17" i="17" s="1"/>
  <c r="F8" i="14" s="1"/>
  <c r="AI46" i="15"/>
  <c r="BB16" i="17"/>
  <c r="BB17" i="17"/>
  <c r="F6" i="14" s="1"/>
  <c r="BF7" i="17"/>
  <c r="BD7" i="17"/>
  <c r="BE7" i="17" s="1"/>
  <c r="AS67" i="17"/>
  <c r="AR67" i="17"/>
  <c r="AQ67" i="17"/>
  <c r="AP67" i="17"/>
  <c r="AO67" i="17"/>
  <c r="AN67" i="17"/>
  <c r="AM67" i="17"/>
  <c r="AK68" i="17"/>
  <c r="AL67" i="17" s="1"/>
  <c r="AK67" i="17"/>
  <c r="AJ67" i="17"/>
  <c r="AH67" i="17"/>
  <c r="M32" i="17"/>
  <c r="E34" i="17"/>
  <c r="J60" i="17" s="1"/>
  <c r="E33" i="17"/>
  <c r="J59" i="17" s="1"/>
  <c r="N44" i="17" s="1"/>
  <c r="AB17" i="17" s="1"/>
  <c r="E35" i="17"/>
  <c r="J61" i="17" s="1"/>
  <c r="N46" i="17" s="1"/>
  <c r="E5" i="17"/>
  <c r="M31" i="17" s="1"/>
  <c r="X34" i="17" s="1"/>
  <c r="AL69" i="17" s="1"/>
  <c r="AQ85" i="8"/>
  <c r="AP86" i="8"/>
  <c r="AL85" i="8"/>
  <c r="AK85" i="8"/>
  <c r="AH85" i="8"/>
  <c r="AJ44" i="15"/>
  <c r="AI44" i="15"/>
  <c r="AJ46" i="15"/>
  <c r="AJ47" i="15" s="1"/>
  <c r="F27" i="14" s="1"/>
  <c r="AI47" i="15"/>
  <c r="F26" i="14" s="1"/>
  <c r="AI33" i="15"/>
  <c r="AI34" i="15" s="1"/>
  <c r="F25" i="14" s="1"/>
  <c r="AI27" i="15"/>
  <c r="AJ14" i="15"/>
  <c r="AJ15" i="15" s="1"/>
  <c r="F24" i="14" s="1"/>
  <c r="AI14" i="15"/>
  <c r="AI15" i="15" s="1"/>
  <c r="F23" i="14" s="1"/>
  <c r="Y49" i="15"/>
  <c r="X49" i="15"/>
  <c r="V50" i="15"/>
  <c r="V49" i="15"/>
  <c r="L42" i="15"/>
  <c r="X52" i="15" s="1"/>
  <c r="L17" i="15"/>
  <c r="BA77" i="8"/>
  <c r="F19" i="14" s="1"/>
  <c r="AZ77" i="8"/>
  <c r="F18" i="14" s="1"/>
  <c r="BA40" i="8"/>
  <c r="F16" i="14" s="1"/>
  <c r="BB40" i="8"/>
  <c r="F17" i="14" s="1"/>
  <c r="AZ40" i="8"/>
  <c r="F15" i="14" s="1"/>
  <c r="Z49" i="15"/>
  <c r="Z50" i="15"/>
  <c r="U49" i="15"/>
  <c r="T49" i="15"/>
  <c r="U51" i="15"/>
  <c r="Y52" i="15"/>
  <c r="W52" i="15"/>
  <c r="U52" i="15"/>
  <c r="S52" i="15"/>
  <c r="O31" i="15"/>
  <c r="X40" i="15"/>
  <c r="R43" i="15"/>
  <c r="X41" i="15" s="1"/>
  <c r="Z51" i="15" s="1"/>
  <c r="X16" i="15"/>
  <c r="V51" i="15" s="1"/>
  <c r="X15" i="15"/>
  <c r="V52" i="15" s="1"/>
  <c r="K9" i="14" l="1"/>
  <c r="F48" i="14"/>
  <c r="F50" i="14"/>
  <c r="K13" i="14"/>
  <c r="BE8" i="17"/>
  <c r="BE9" i="17" s="1"/>
  <c r="BE10" i="17" s="1"/>
  <c r="BD8" i="17"/>
  <c r="BD9" i="17" s="1"/>
  <c r="BD10" i="17" s="1"/>
  <c r="BD83" i="8"/>
  <c r="BB48" i="17"/>
  <c r="F13" i="14" s="1"/>
  <c r="BE16" i="17"/>
  <c r="BE17" i="17" s="1"/>
  <c r="F9" i="14" s="1"/>
  <c r="BB8" i="17"/>
  <c r="BB9" i="17" s="1"/>
  <c r="BB10" i="17" s="1"/>
  <c r="BC8" i="17"/>
  <c r="AI69" i="17"/>
  <c r="N45" i="17"/>
  <c r="AK69" i="17" s="1"/>
  <c r="AJ69" i="17"/>
  <c r="AI73" i="17"/>
  <c r="AJ73" i="17"/>
  <c r="AK72" i="17"/>
  <c r="AL72" i="17" s="1"/>
  <c r="AN72" i="17"/>
  <c r="AG69" i="17"/>
  <c r="AK73" i="17"/>
  <c r="AL73" i="17" s="1"/>
  <c r="AN73" i="17"/>
  <c r="AH69" i="17"/>
  <c r="AI72" i="17"/>
  <c r="AJ72" i="17"/>
  <c r="V12" i="17"/>
  <c r="AM69" i="17" s="1"/>
  <c r="AB18" i="17"/>
  <c r="AN69" i="17" s="1"/>
  <c r="T52" i="15"/>
  <c r="Z52" i="15"/>
  <c r="Y51" i="15"/>
  <c r="BC9" i="17" l="1"/>
  <c r="BC10" i="17" s="1"/>
  <c r="AJ74" i="17"/>
  <c r="AI74" i="17"/>
  <c r="AK74" i="17"/>
  <c r="AN74" i="17"/>
  <c r="M30" i="17"/>
  <c r="X33" i="17" s="1"/>
  <c r="AG74" i="17"/>
  <c r="AH12" i="17"/>
  <c r="AO69" i="17" s="1"/>
  <c r="AD29" i="17"/>
  <c r="D7" i="16"/>
  <c r="E7" i="16" s="1"/>
  <c r="D8" i="16"/>
  <c r="E8" i="16" s="1"/>
  <c r="D9" i="16"/>
  <c r="E9" i="16" s="1"/>
  <c r="D10" i="16"/>
  <c r="E10" i="16" s="1"/>
  <c r="D11" i="16"/>
  <c r="E11" i="16" s="1"/>
  <c r="D12" i="16"/>
  <c r="D13" i="16"/>
  <c r="E13" i="16" s="1"/>
  <c r="D14" i="16"/>
  <c r="E14" i="16" s="1"/>
  <c r="D15" i="16"/>
  <c r="E15" i="16" s="1"/>
  <c r="D16" i="16"/>
  <c r="E16" i="16" s="1"/>
  <c r="D17" i="16"/>
  <c r="E17" i="16" s="1"/>
  <c r="D18" i="16"/>
  <c r="E18" i="16" s="1"/>
  <c r="D19" i="16"/>
  <c r="E19" i="16" s="1"/>
  <c r="D20" i="16"/>
  <c r="E20" i="16" s="1"/>
  <c r="D21" i="16"/>
  <c r="E21" i="16" s="1"/>
  <c r="D22" i="16"/>
  <c r="E22" i="16" s="1"/>
  <c r="D23" i="16"/>
  <c r="E23" i="16" s="1"/>
  <c r="D24" i="16"/>
  <c r="E24" i="16" s="1"/>
  <c r="D25" i="16"/>
  <c r="E25" i="16" s="1"/>
  <c r="D26" i="16"/>
  <c r="E26" i="16" s="1"/>
  <c r="D27" i="16"/>
  <c r="E27" i="16" s="1"/>
  <c r="D28" i="16"/>
  <c r="E28" i="16" s="1"/>
  <c r="D29" i="16"/>
  <c r="E29" i="16" s="1"/>
  <c r="D30" i="16"/>
  <c r="E30" i="16" s="1"/>
  <c r="D31" i="16"/>
  <c r="E31" i="16" s="1"/>
  <c r="D32" i="16"/>
  <c r="E32" i="16" s="1"/>
  <c r="D33" i="16"/>
  <c r="E33" i="16" s="1"/>
  <c r="D34" i="16"/>
  <c r="E34" i="16" s="1"/>
  <c r="D35" i="16"/>
  <c r="E35" i="16" s="1"/>
  <c r="D36" i="16"/>
  <c r="E36" i="16" s="1"/>
  <c r="D37" i="16"/>
  <c r="E37" i="16" s="1"/>
  <c r="D38" i="16"/>
  <c r="E38" i="16" s="1"/>
  <c r="D39" i="16"/>
  <c r="E39" i="16" s="1"/>
  <c r="D40" i="16"/>
  <c r="E40" i="16" s="1"/>
  <c r="D41" i="16"/>
  <c r="E41" i="16" s="1"/>
  <c r="D42" i="16"/>
  <c r="E42" i="16" s="1"/>
  <c r="D43" i="16"/>
  <c r="E43" i="16" s="1"/>
  <c r="D44" i="16"/>
  <c r="E44" i="16" s="1"/>
  <c r="D45" i="16"/>
  <c r="E45" i="16" s="1"/>
  <c r="D46" i="16"/>
  <c r="E46" i="16" s="1"/>
  <c r="D47" i="16"/>
  <c r="E47" i="16" s="1"/>
  <c r="D48" i="16"/>
  <c r="E48" i="16" s="1"/>
  <c r="D49" i="16"/>
  <c r="E49" i="16" s="1"/>
  <c r="D50" i="16"/>
  <c r="E50" i="16" s="1"/>
  <c r="D51" i="16"/>
  <c r="E51" i="16" s="1"/>
  <c r="D52" i="16"/>
  <c r="E52" i="16" s="1"/>
  <c r="D53" i="16"/>
  <c r="E53" i="16" s="1"/>
  <c r="D54" i="16"/>
  <c r="E54" i="16" s="1"/>
  <c r="D55" i="16"/>
  <c r="E55" i="16" s="1"/>
  <c r="D56" i="16"/>
  <c r="E56" i="16" s="1"/>
  <c r="D6" i="16"/>
  <c r="E6" i="16" s="1"/>
  <c r="E12" i="16"/>
  <c r="AZ149" i="8"/>
  <c r="BA110" i="8"/>
  <c r="BB110" i="8"/>
  <c r="AZ110" i="8"/>
  <c r="BB102" i="8"/>
  <c r="AZ102" i="8"/>
  <c r="AZ85" i="8"/>
  <c r="AZ84" i="8"/>
  <c r="AZ83" i="8"/>
  <c r="BA123" i="8" s="1"/>
  <c r="AZ82" i="8"/>
  <c r="BA74" i="8"/>
  <c r="AZ74" i="8"/>
  <c r="AZ66" i="8"/>
  <c r="AZ67" i="8" s="1"/>
  <c r="BA66" i="8"/>
  <c r="BA67" i="8" s="1"/>
  <c r="BB56" i="8"/>
  <c r="BB57" i="8" s="1"/>
  <c r="BB58" i="8"/>
  <c r="BB52" i="8"/>
  <c r="BB54" i="8" s="1"/>
  <c r="BB51" i="8"/>
  <c r="BA58" i="8"/>
  <c r="BA52" i="8"/>
  <c r="BA54" i="8" s="1"/>
  <c r="BA51" i="8"/>
  <c r="BG53" i="8"/>
  <c r="BG47" i="8"/>
  <c r="BG49" i="8" s="1"/>
  <c r="AZ58" i="8"/>
  <c r="AZ52" i="8"/>
  <c r="AZ54" i="8" s="1"/>
  <c r="AZ51" i="8"/>
  <c r="AZ45" i="8" s="1"/>
  <c r="BA37" i="8"/>
  <c r="BB37" i="8"/>
  <c r="AZ37" i="8"/>
  <c r="BB29" i="8"/>
  <c r="BA28" i="8"/>
  <c r="BA29" i="8" s="1"/>
  <c r="BB28" i="8"/>
  <c r="BB30" i="8" s="1"/>
  <c r="AZ28" i="8"/>
  <c r="AZ30" i="8" s="1"/>
  <c r="BA20" i="8"/>
  <c r="BB20" i="8"/>
  <c r="AZ20" i="8"/>
  <c r="BB15" i="8"/>
  <c r="BB14" i="8"/>
  <c r="BB16" i="8" s="1"/>
  <c r="BA14" i="8"/>
  <c r="BA15" i="8" s="1"/>
  <c r="AZ14" i="8"/>
  <c r="AZ16" i="8" s="1"/>
  <c r="BA13" i="8"/>
  <c r="BA7" i="8" s="1"/>
  <c r="BB13" i="8"/>
  <c r="BB7" i="8" s="1"/>
  <c r="AZ13" i="8"/>
  <c r="AZ7" i="8" s="1"/>
  <c r="V11" i="17" l="1"/>
  <c r="AM71" i="17" s="1"/>
  <c r="AM74" i="17" s="1"/>
  <c r="AH44" i="17"/>
  <c r="AP69" i="17"/>
  <c r="AH71" i="17"/>
  <c r="AH74" i="17" s="1"/>
  <c r="AL71" i="17"/>
  <c r="AL74" i="17" s="1"/>
  <c r="H10" i="16"/>
  <c r="BB123" i="8"/>
  <c r="AZ123" i="8"/>
  <c r="AZ29" i="8"/>
  <c r="AZ55" i="8"/>
  <c r="BB32" i="8"/>
  <c r="BB33" i="8" s="1"/>
  <c r="BB39" i="8" s="1"/>
  <c r="BA32" i="8"/>
  <c r="BA33" i="8" s="1"/>
  <c r="BA39" i="8" s="1"/>
  <c r="BA30" i="8"/>
  <c r="BA68" i="8"/>
  <c r="BA70" i="8" s="1"/>
  <c r="BA71" i="8" s="1"/>
  <c r="BA76" i="8" s="1"/>
  <c r="AZ68" i="8"/>
  <c r="BA16" i="8"/>
  <c r="AZ32" i="8"/>
  <c r="AZ33" i="8" s="1"/>
  <c r="AZ15" i="8"/>
  <c r="BA55" i="8"/>
  <c r="BA56" i="8" s="1"/>
  <c r="BA57" i="8" s="1"/>
  <c r="BB60" i="8"/>
  <c r="BB59" i="8"/>
  <c r="BB61" i="8" s="1"/>
  <c r="BB53" i="8"/>
  <c r="BB45" i="8"/>
  <c r="BA53" i="8"/>
  <c r="BA45" i="8"/>
  <c r="BG48" i="8"/>
  <c r="AZ53" i="8"/>
  <c r="AJ33" i="17" l="1"/>
  <c r="AQ69" i="17"/>
  <c r="AZ39" i="8"/>
  <c r="AZ70" i="8"/>
  <c r="AZ71" i="8" s="1"/>
  <c r="AZ76" i="8" s="1"/>
  <c r="BA59" i="8"/>
  <c r="AZ60" i="8"/>
  <c r="BA60" i="8"/>
  <c r="AZ59" i="8"/>
  <c r="AZ56" i="8"/>
  <c r="AZ57" i="8" s="1"/>
  <c r="AP60" i="17" l="1"/>
  <c r="AS69" i="17" s="1"/>
  <c r="AR69" i="17"/>
  <c r="BA61" i="8"/>
  <c r="BA64" i="8" s="1"/>
  <c r="AZ61" i="8"/>
  <c r="AZ64" i="8" s="1"/>
  <c r="AQ88" i="8" l="1"/>
  <c r="AP88" i="8"/>
  <c r="AN88" i="8"/>
  <c r="AM88" i="8"/>
  <c r="AE88" i="8"/>
  <c r="AQ87" i="8"/>
  <c r="AP87" i="8"/>
  <c r="AE87" i="8"/>
  <c r="E30" i="8" l="1"/>
  <c r="E31" i="8"/>
  <c r="E38" i="8" s="1"/>
  <c r="E6" i="8"/>
  <c r="AM87" i="8" s="1"/>
  <c r="O88" i="8"/>
  <c r="AF88" i="8" s="1"/>
  <c r="AF24" i="8"/>
  <c r="S77" i="8"/>
  <c r="M77" i="8"/>
  <c r="AE73" i="8"/>
  <c r="AE72" i="8"/>
  <c r="AE71" i="8"/>
  <c r="AE65" i="8"/>
  <c r="AE64" i="8"/>
  <c r="W47" i="8" s="1"/>
  <c r="AH87" i="8" s="1"/>
  <c r="C32" i="13"/>
  <c r="C16" i="13"/>
  <c r="AJ24" i="8"/>
  <c r="AA23" i="8"/>
  <c r="H32" i="11"/>
  <c r="H48" i="11" s="1"/>
  <c r="F27" i="11"/>
  <c r="F43" i="11" s="1"/>
  <c r="E22" i="11"/>
  <c r="E38" i="11" s="1"/>
  <c r="F22" i="11"/>
  <c r="F38" i="11" s="1"/>
  <c r="G22" i="11"/>
  <c r="G38" i="11" s="1"/>
  <c r="H22" i="11"/>
  <c r="H38" i="11" s="1"/>
  <c r="E23" i="11"/>
  <c r="E39" i="11" s="1"/>
  <c r="F23" i="11"/>
  <c r="F39" i="11" s="1"/>
  <c r="G23" i="11"/>
  <c r="G39" i="11" s="1"/>
  <c r="H23" i="11"/>
  <c r="H39" i="11" s="1"/>
  <c r="E24" i="11"/>
  <c r="E40" i="11" s="1"/>
  <c r="F24" i="11"/>
  <c r="F40" i="11" s="1"/>
  <c r="G24" i="11"/>
  <c r="G40" i="11" s="1"/>
  <c r="H24" i="11"/>
  <c r="H40" i="11" s="1"/>
  <c r="E25" i="11"/>
  <c r="E41" i="11" s="1"/>
  <c r="F25" i="11"/>
  <c r="F41" i="11" s="1"/>
  <c r="G25" i="11"/>
  <c r="G41" i="11" s="1"/>
  <c r="H25" i="11"/>
  <c r="H41" i="11" s="1"/>
  <c r="E26" i="11"/>
  <c r="E42" i="11" s="1"/>
  <c r="F26" i="11"/>
  <c r="F42" i="11" s="1"/>
  <c r="G26" i="11"/>
  <c r="G42" i="11" s="1"/>
  <c r="H26" i="11"/>
  <c r="H42" i="11" s="1"/>
  <c r="E27" i="11"/>
  <c r="E43" i="11" s="1"/>
  <c r="G27" i="11"/>
  <c r="G43" i="11" s="1"/>
  <c r="H27" i="11"/>
  <c r="H43" i="11" s="1"/>
  <c r="E28" i="11"/>
  <c r="E44" i="11" s="1"/>
  <c r="F28" i="11"/>
  <c r="F44" i="11" s="1"/>
  <c r="G28" i="11"/>
  <c r="G44" i="11" s="1"/>
  <c r="H28" i="11"/>
  <c r="H44" i="11" s="1"/>
  <c r="E29" i="11"/>
  <c r="E45" i="11" s="1"/>
  <c r="F29" i="11"/>
  <c r="F45" i="11" s="1"/>
  <c r="G29" i="11"/>
  <c r="G45" i="11" s="1"/>
  <c r="H29" i="11"/>
  <c r="H45" i="11" s="1"/>
  <c r="E30" i="11"/>
  <c r="E46" i="11" s="1"/>
  <c r="F30" i="11"/>
  <c r="F46" i="11" s="1"/>
  <c r="G30" i="11"/>
  <c r="G46" i="11" s="1"/>
  <c r="H30" i="11"/>
  <c r="H46" i="11" s="1"/>
  <c r="E31" i="11"/>
  <c r="E47" i="11" s="1"/>
  <c r="F31" i="11"/>
  <c r="F47" i="11" s="1"/>
  <c r="G31" i="11"/>
  <c r="G47" i="11" s="1"/>
  <c r="H31" i="11"/>
  <c r="H47" i="11" s="1"/>
  <c r="E32" i="11"/>
  <c r="E48" i="11" s="1"/>
  <c r="F32" i="11"/>
  <c r="F48" i="11" s="1"/>
  <c r="G32" i="11"/>
  <c r="G48" i="11" s="1"/>
  <c r="D23" i="11"/>
  <c r="D39" i="11" s="1"/>
  <c r="D24" i="11"/>
  <c r="D40" i="11" s="1"/>
  <c r="D25" i="11"/>
  <c r="D41" i="11" s="1"/>
  <c r="D26" i="11"/>
  <c r="D42" i="11" s="1"/>
  <c r="D27" i="11"/>
  <c r="D43" i="11" s="1"/>
  <c r="D28" i="11"/>
  <c r="D44" i="11" s="1"/>
  <c r="D29" i="11"/>
  <c r="D45" i="11" s="1"/>
  <c r="D30" i="11"/>
  <c r="D46" i="11" s="1"/>
  <c r="D31" i="11"/>
  <c r="D47" i="11" s="1"/>
  <c r="D32" i="11"/>
  <c r="D48" i="11" s="1"/>
  <c r="D22" i="11"/>
  <c r="D38" i="11" s="1"/>
  <c r="AZ97" i="8" a="1"/>
  <c r="C33" i="13" l="1"/>
  <c r="C34" i="13" s="1"/>
  <c r="C35" i="13" s="1"/>
  <c r="AD28" i="17"/>
  <c r="AZ97" i="8"/>
  <c r="AO88" i="8"/>
  <c r="AO87" i="8"/>
  <c r="BB97" i="8"/>
  <c r="BB126" i="8" s="1"/>
  <c r="C5" i="13"/>
  <c r="U6" i="8"/>
  <c r="AJ87" i="8"/>
  <c r="AK87" i="8"/>
  <c r="AJ23" i="8"/>
  <c r="AI88" i="8"/>
  <c r="V88" i="8"/>
  <c r="AG88" i="8" s="1"/>
  <c r="S76" i="8"/>
  <c r="V89" i="8" s="1"/>
  <c r="AG87" i="8" s="1"/>
  <c r="K9" i="11"/>
  <c r="I92" i="8" a="1"/>
  <c r="E41" i="8" a="1"/>
  <c r="E42" i="8" a="1"/>
  <c r="O89" i="8" a="1"/>
  <c r="E7" i="8" a="1"/>
  <c r="AJ25" i="8" a="1"/>
  <c r="AJ25" i="8" l="1"/>
  <c r="E42" i="8"/>
  <c r="E41" i="8"/>
  <c r="AP72" i="17"/>
  <c r="AP73" i="17"/>
  <c r="AQ73" i="17" s="1"/>
  <c r="AH11" i="17"/>
  <c r="AO72" i="17" s="1"/>
  <c r="AO74" i="17" s="1"/>
  <c r="AH43" i="17"/>
  <c r="AJ32" i="17" s="1"/>
  <c r="BF8" i="17" s="1"/>
  <c r="BF9" i="17" s="1"/>
  <c r="BF10" i="17" s="1"/>
  <c r="BA96" i="8"/>
  <c r="E7" i="8"/>
  <c r="O89" i="8"/>
  <c r="AP92" i="8"/>
  <c r="AQ92" i="8" s="1"/>
  <c r="C24" i="13"/>
  <c r="C17" i="13"/>
  <c r="U5" i="8"/>
  <c r="AJ88" i="8"/>
  <c r="AK88" i="8"/>
  <c r="AL87" i="8"/>
  <c r="I92" i="8"/>
  <c r="E8" i="8" a="1"/>
  <c r="V90" i="8" a="1"/>
  <c r="E9" i="8" a="1"/>
  <c r="U7" i="8" a="1"/>
  <c r="AJ27" i="8" a="1"/>
  <c r="AJ26" i="8" a="1"/>
  <c r="AJ26" i="8" l="1"/>
  <c r="AJ27" i="8"/>
  <c r="AR73" i="17"/>
  <c r="AS73" i="17" s="1"/>
  <c r="AP59" i="17"/>
  <c r="AR72" i="17"/>
  <c r="AQ72" i="17"/>
  <c r="AQ74" i="17" s="1"/>
  <c r="AP74" i="17"/>
  <c r="BG50" i="8"/>
  <c r="AZ87" i="8"/>
  <c r="BA17" i="8"/>
  <c r="BB17" i="8"/>
  <c r="AZ17" i="8"/>
  <c r="AZ148" i="8"/>
  <c r="BA97" i="8"/>
  <c r="BA98" i="8" s="1"/>
  <c r="V90" i="8"/>
  <c r="E9" i="8"/>
  <c r="E8" i="8"/>
  <c r="AF87" i="8"/>
  <c r="AP91" i="8"/>
  <c r="AQ91" i="8" s="1"/>
  <c r="AQ93" i="8" s="1"/>
  <c r="U7" i="8"/>
  <c r="AL88" i="8"/>
  <c r="I87" i="8"/>
  <c r="AE68" i="8"/>
  <c r="C25" i="13"/>
  <c r="V92" i="8" a="1"/>
  <c r="V91" i="8" a="1"/>
  <c r="U8" i="8" a="1"/>
  <c r="O90" i="8" a="1"/>
  <c r="U9" i="8" a="1"/>
  <c r="AE90" i="8" l="1"/>
  <c r="AE93" i="8" s="1"/>
  <c r="AS72" i="17"/>
  <c r="AS74" i="17" s="1"/>
  <c r="AR74" i="17"/>
  <c r="BB18" i="8"/>
  <c r="BB19" i="8" s="1"/>
  <c r="BB21" i="8"/>
  <c r="BB22" i="8"/>
  <c r="AZ22" i="8"/>
  <c r="BA22" i="8"/>
  <c r="BA21" i="8"/>
  <c r="BA18" i="8"/>
  <c r="BA19" i="8" s="1"/>
  <c r="BB112" i="8"/>
  <c r="BB113" i="8" s="1"/>
  <c r="BB114" i="8" s="1"/>
  <c r="BB115" i="8" s="1"/>
  <c r="BB122" i="8" s="1"/>
  <c r="AZ112" i="8"/>
  <c r="AZ113" i="8" s="1"/>
  <c r="AZ114" i="8" s="1"/>
  <c r="AZ115" i="8" s="1"/>
  <c r="AZ122" i="8" s="1"/>
  <c r="AZ18" i="8"/>
  <c r="AZ21" i="8"/>
  <c r="BB96" i="8"/>
  <c r="O90" i="8"/>
  <c r="V92" i="8"/>
  <c r="V91" i="8"/>
  <c r="AP93" i="8"/>
  <c r="U8" i="8"/>
  <c r="U9" i="8"/>
  <c r="O87" i="8"/>
  <c r="O92" i="8" a="1"/>
  <c r="O91" i="8" a="1"/>
  <c r="AZ23" i="8" l="1"/>
  <c r="AZ26" i="8" s="1"/>
  <c r="BA23" i="8"/>
  <c r="BA26" i="8" s="1"/>
  <c r="BB23" i="8"/>
  <c r="BB26" i="8" s="1"/>
  <c r="AZ19" i="8"/>
  <c r="AZ90" i="8"/>
  <c r="O32" i="15" s="1"/>
  <c r="G47" i="15" s="1"/>
  <c r="G48" i="15" s="1"/>
  <c r="G49" i="15" s="1"/>
  <c r="G50" i="15" s="1"/>
  <c r="BB98" i="8"/>
  <c r="O92" i="8"/>
  <c r="O91" i="8"/>
  <c r="M79" i="8" s="1"/>
  <c r="V87" i="8"/>
  <c r="AF90" i="8"/>
  <c r="AF93" i="8" s="1"/>
  <c r="M80" i="8" l="1"/>
  <c r="AZ152" i="8" s="1"/>
  <c r="S78" i="8"/>
  <c r="W45" i="8"/>
  <c r="AG90" i="8"/>
  <c r="AG93" i="8" s="1"/>
  <c r="W43" i="8"/>
  <c r="AE66" i="8" a="1"/>
  <c r="AE66" i="8" l="1"/>
  <c r="W46" i="8" s="1"/>
  <c r="AA18" i="8"/>
  <c r="AH90" i="8"/>
  <c r="AH92" i="8"/>
  <c r="AA22" i="8"/>
  <c r="W48" i="8" a="1"/>
  <c r="W48" i="8" l="1"/>
  <c r="AJ22" i="8"/>
  <c r="AI92" i="8"/>
  <c r="AH93" i="8"/>
  <c r="AJ18" i="8"/>
  <c r="AI90" i="8"/>
  <c r="AH88" i="8"/>
  <c r="W50" i="8" a="1"/>
  <c r="W49" i="8" a="1"/>
  <c r="AI93" i="8" l="1"/>
  <c r="W49" i="8"/>
  <c r="AA26" i="8" s="1"/>
  <c r="W50" i="8"/>
  <c r="AP44" i="8"/>
  <c r="AJ90" i="8"/>
  <c r="AJ92" i="8"/>
  <c r="AP46" i="8"/>
  <c r="AA24" i="8" a="1"/>
  <c r="M13" i="14" l="1"/>
  <c r="L45" i="14" s="1"/>
  <c r="M15" i="14"/>
  <c r="M16" i="14"/>
  <c r="K25" i="14"/>
  <c r="M7" i="14"/>
  <c r="M9" i="14"/>
  <c r="U4" i="8"/>
  <c r="AL90" i="8" s="1"/>
  <c r="AL93" i="8" s="1"/>
  <c r="AK92" i="8"/>
  <c r="E4" i="8"/>
  <c r="M8" i="14" s="1"/>
  <c r="AK90" i="8"/>
  <c r="AA24" i="8"/>
  <c r="AJ93" i="8"/>
  <c r="AF25" i="8"/>
  <c r="AA20" i="8" a="1"/>
  <c r="K37" i="14" l="1"/>
  <c r="R9" i="14" s="1"/>
  <c r="AA9" i="14"/>
  <c r="T9" i="14"/>
  <c r="V9" i="14"/>
  <c r="W9" i="14"/>
  <c r="Z9" i="14"/>
  <c r="U9" i="14"/>
  <c r="X9" i="14"/>
  <c r="S9" i="14"/>
  <c r="Y9" i="14"/>
  <c r="L42" i="14"/>
  <c r="AK93" i="8"/>
  <c r="AM90" i="8"/>
  <c r="AM93" i="8" s="1"/>
  <c r="F49" i="14"/>
  <c r="AP77" i="8"/>
  <c r="E16" i="8"/>
  <c r="E20" i="8" s="1"/>
  <c r="E32" i="8" s="1"/>
  <c r="AA20" i="8"/>
  <c r="AI87" i="8"/>
  <c r="E18" i="8" a="1"/>
  <c r="AA25" i="8" a="1"/>
  <c r="AP78" i="8" l="1"/>
  <c r="AP79" i="8" s="1"/>
  <c r="AP80" i="8" s="1"/>
  <c r="AN90" i="8"/>
  <c r="AN93" i="8" s="1"/>
  <c r="E37" i="8"/>
  <c r="AO90" i="8" s="1"/>
  <c r="AO93" i="8" s="1"/>
  <c r="E18" i="8"/>
  <c r="AZ89" i="8"/>
  <c r="AZ91" i="8" s="1"/>
  <c r="AZ92" i="8" s="1"/>
  <c r="AA25" i="8"/>
  <c r="AA27" i="8" a="1"/>
  <c r="M11" i="14" l="1"/>
  <c r="L44" i="14" s="1"/>
  <c r="F45" i="14"/>
  <c r="AZ96" i="8"/>
  <c r="V33" i="15"/>
  <c r="V32" i="15" s="1"/>
  <c r="V8" i="15"/>
  <c r="E16" i="15"/>
  <c r="AN87" i="8"/>
  <c r="AZ98" i="8"/>
  <c r="AA27" i="8"/>
  <c r="E19" i="8" a="1"/>
  <c r="E43" i="15" a="1"/>
  <c r="BB105" i="8" a="1"/>
  <c r="E19" i="8" l="1"/>
  <c r="E43" i="15"/>
  <c r="L43" i="15" s="1"/>
  <c r="X51" i="15" s="1"/>
  <c r="L16" i="15"/>
  <c r="S54" i="15"/>
  <c r="S55" i="15"/>
  <c r="T55" i="15" s="1"/>
  <c r="U55" i="15" s="1"/>
  <c r="V55" i="15" s="1"/>
  <c r="W55" i="15" s="1"/>
  <c r="X55" i="15" s="1"/>
  <c r="Y55" i="15" s="1"/>
  <c r="Z55" i="15" s="1"/>
  <c r="E41" i="15"/>
  <c r="R16" i="15"/>
  <c r="X14" i="15" s="1"/>
  <c r="BB105" i="8"/>
  <c r="AZ117" i="8"/>
  <c r="AZ118" i="8" s="1"/>
  <c r="AZ119" i="8" s="1"/>
  <c r="AZ120" i="8" s="1"/>
  <c r="AZ124" i="8" s="1"/>
  <c r="AZ125" i="8" s="1"/>
  <c r="BA117" i="8"/>
  <c r="BA118" i="8" s="1"/>
  <c r="BA119" i="8" s="1"/>
  <c r="BA120" i="8" s="1"/>
  <c r="BA124" i="8" s="1"/>
  <c r="BB117" i="8"/>
  <c r="BB118" i="8" s="1"/>
  <c r="BB119" i="8" s="1"/>
  <c r="BB120" i="8" s="1"/>
  <c r="BB124" i="8" s="1"/>
  <c r="BB125" i="8" s="1"/>
  <c r="E21" i="8" a="1"/>
  <c r="E21" i="8" l="1"/>
  <c r="W51" i="15"/>
  <c r="L41" i="15"/>
  <c r="R41" i="15"/>
  <c r="X39" i="15" s="1"/>
  <c r="T54" i="15"/>
  <c r="S56" i="15"/>
  <c r="BA104" i="8"/>
  <c r="BB106" i="8"/>
  <c r="BB127" i="8"/>
  <c r="BB128" i="8" s="1"/>
  <c r="BB129" i="8" s="1"/>
  <c r="BB130" i="8" s="1"/>
  <c r="BB136" i="8" s="1"/>
  <c r="BA105" i="8" a="1"/>
  <c r="BA105" i="8" l="1"/>
  <c r="AZ104" i="8" s="1"/>
  <c r="T56" i="15"/>
  <c r="U54" i="15"/>
  <c r="BB138" i="8"/>
  <c r="BB137" i="8"/>
  <c r="BB139" i="8" s="1"/>
  <c r="BA126" i="8"/>
  <c r="AZ105" i="8" a="1"/>
  <c r="AZ105" i="8" l="1"/>
  <c r="AZ106" i="8" s="1"/>
  <c r="AZ126" i="8"/>
  <c r="V54" i="15"/>
  <c r="U56" i="15"/>
  <c r="BA127" i="8"/>
  <c r="BA128" i="8" s="1"/>
  <c r="BA106" i="8"/>
  <c r="BA115" i="8" l="1"/>
  <c r="BA122" i="8" s="1"/>
  <c r="BA125" i="8" s="1"/>
  <c r="BA129" i="8" s="1"/>
  <c r="BA130" i="8" s="1"/>
  <c r="BA136" i="8" s="1"/>
  <c r="E18" i="15"/>
  <c r="AZ127" i="8"/>
  <c r="AZ128" i="8" s="1"/>
  <c r="AZ129" i="8" s="1"/>
  <c r="AZ130" i="8" s="1"/>
  <c r="AZ136" i="8" s="1"/>
  <c r="W54" i="15"/>
  <c r="V56" i="15"/>
  <c r="AZ132" i="8" l="1"/>
  <c r="S51" i="15"/>
  <c r="L18" i="15"/>
  <c r="AZ137" i="8"/>
  <c r="AZ139" i="8" s="1"/>
  <c r="AZ138" i="8"/>
  <c r="X54" i="15"/>
  <c r="W56" i="15"/>
  <c r="BA137" i="8"/>
  <c r="BA139" i="8" s="1"/>
  <c r="BA138" i="8"/>
  <c r="AZ133" i="8"/>
  <c r="T51" i="15" l="1"/>
  <c r="Y54" i="15"/>
  <c r="X56" i="15"/>
  <c r="BB141" i="8"/>
  <c r="BB142" i="8" s="1"/>
  <c r="F20" i="14" s="1"/>
  <c r="F29" i="14" s="1"/>
  <c r="F34" i="14" s="1"/>
  <c r="V7" i="15"/>
  <c r="O7" i="15" a="1"/>
  <c r="O7" i="15" l="1"/>
  <c r="O8" i="15" s="1"/>
  <c r="Z54" i="15"/>
  <c r="Z56" i="15" s="1"/>
  <c r="Y56" i="15"/>
  <c r="F30" i="14"/>
  <c r="F36" i="14" s="1"/>
  <c r="F38" i="14" l="1"/>
  <c r="C75" i="15" s="1"/>
  <c r="F39" i="14"/>
  <c r="L47" i="14" s="1"/>
  <c r="F40" i="14" l="1"/>
  <c r="X60" i="14" s="1"/>
  <c r="X27" i="14" s="1"/>
  <c r="F47" i="14"/>
  <c r="F51" i="14" s="1"/>
  <c r="K16" i="14"/>
  <c r="K15" i="14"/>
  <c r="T60" i="14"/>
  <c r="T27" i="14" s="1"/>
  <c r="R60" i="14"/>
  <c r="R27" i="14" s="1"/>
  <c r="Q51" i="14"/>
  <c r="U60" i="14"/>
  <c r="U27" i="14" s="1"/>
  <c r="Y60" i="14"/>
  <c r="Y27" i="14" s="1"/>
  <c r="V60" i="14"/>
  <c r="V27" i="14" s="1"/>
  <c r="Z60" i="14"/>
  <c r="Z27" i="14" s="1"/>
  <c r="Q36" i="14"/>
  <c r="Q40" i="14" s="1"/>
  <c r="Q41" i="14" s="1"/>
  <c r="Q42" i="14" s="1"/>
  <c r="S60" i="14"/>
  <c r="S27" i="14" s="1"/>
  <c r="W60" i="14"/>
  <c r="W27" i="14" s="1"/>
  <c r="AA60" i="14"/>
  <c r="AA27" i="14" s="1"/>
  <c r="K30" i="14"/>
  <c r="L46" i="14" l="1"/>
  <c r="R52" i="14"/>
  <c r="R16" i="14" s="1"/>
  <c r="R54" i="14"/>
  <c r="R15" i="14" s="1"/>
  <c r="L48" i="14" l="1"/>
  <c r="M46" i="14" s="1"/>
  <c r="M44" i="14"/>
  <c r="M47" i="14"/>
  <c r="S54" i="14"/>
  <c r="R53" i="14"/>
  <c r="R51" i="14" s="1"/>
  <c r="S52" i="14" s="1"/>
  <c r="S16" i="14" s="1"/>
  <c r="M43" i="14" l="1"/>
  <c r="M45" i="14"/>
  <c r="T54" i="14"/>
  <c r="S15" i="14"/>
  <c r="S53" i="14"/>
  <c r="S51" i="14" s="1"/>
  <c r="U54" i="14" l="1"/>
  <c r="T15" i="14"/>
  <c r="T52" i="14"/>
  <c r="V54" i="14" l="1"/>
  <c r="U15" i="14"/>
  <c r="T53" i="14"/>
  <c r="T51" i="14" s="1"/>
  <c r="U52" i="14" s="1"/>
  <c r="T16" i="14"/>
  <c r="U53" i="14" l="1"/>
  <c r="U51" i="14" s="1"/>
  <c r="V52" i="14" s="1"/>
  <c r="U16" i="14"/>
  <c r="W54" i="14"/>
  <c r="V15" i="14"/>
  <c r="V53" i="14" l="1"/>
  <c r="V51" i="14" s="1"/>
  <c r="W52" i="14" s="1"/>
  <c r="V16" i="14"/>
  <c r="X54" i="14"/>
  <c r="W15" i="14"/>
  <c r="Y54" i="14" l="1"/>
  <c r="X15" i="14"/>
  <c r="W53" i="14"/>
  <c r="W51" i="14" s="1"/>
  <c r="X52" i="14" s="1"/>
  <c r="W16" i="14"/>
  <c r="Z54" i="14" l="1"/>
  <c r="Y15" i="14"/>
  <c r="X53" i="14"/>
  <c r="X51" i="14" s="1"/>
  <c r="Y52" i="14" s="1"/>
  <c r="X16" i="14"/>
  <c r="AA54" i="14" l="1"/>
  <c r="AA15" i="14" s="1"/>
  <c r="Z15" i="14"/>
  <c r="Y53" i="14"/>
  <c r="Y51" i="14" s="1"/>
  <c r="Z52" i="14" s="1"/>
  <c r="Y16" i="14"/>
  <c r="Z53" i="14" l="1"/>
  <c r="Z51" i="14" s="1"/>
  <c r="AA52" i="14" s="1"/>
  <c r="Z16" i="14"/>
  <c r="AA53" i="14" l="1"/>
  <c r="AA51" i="14" s="1"/>
  <c r="AA16" i="14"/>
  <c r="AA11" i="14"/>
  <c r="W11" i="14"/>
  <c r="X11" i="14"/>
  <c r="Y11" i="14"/>
  <c r="Z11" i="14"/>
  <c r="V11" i="14"/>
  <c r="U11" i="14"/>
  <c r="T11" i="14"/>
  <c r="S11" i="14"/>
  <c r="R11" i="14"/>
  <c r="R31" i="14" s="1"/>
  <c r="M42" i="14"/>
  <c r="L50" i="14"/>
  <c r="W10" i="14" s="1"/>
  <c r="S31" i="14" l="1"/>
  <c r="R32" i="14"/>
  <c r="K23" i="14"/>
  <c r="R10" i="14"/>
  <c r="R13" i="14" s="1"/>
  <c r="R18" i="14" s="1"/>
  <c r="Z10" i="14"/>
  <c r="Z13" i="14" s="1"/>
  <c r="G31" i="13"/>
  <c r="Y10" i="14"/>
  <c r="Y13" i="14" s="1"/>
  <c r="Y18" i="14" s="1"/>
  <c r="U10" i="14"/>
  <c r="U13" i="14" s="1"/>
  <c r="W13" i="14"/>
  <c r="T31" i="14"/>
  <c r="V10" i="14"/>
  <c r="S32" i="14"/>
  <c r="T10" i="14"/>
  <c r="S10" i="14"/>
  <c r="AA10" i="14"/>
  <c r="L52" i="14"/>
  <c r="X10" i="14"/>
  <c r="R24" i="14" l="1"/>
  <c r="R30" i="14"/>
  <c r="Y24" i="14"/>
  <c r="W18" i="14"/>
  <c r="W24" i="14"/>
  <c r="X13" i="14"/>
  <c r="AA13" i="14"/>
  <c r="T13" i="14"/>
  <c r="V13" i="14"/>
  <c r="U31" i="14"/>
  <c r="T32" i="14"/>
  <c r="Z24" i="14"/>
  <c r="Z18" i="14"/>
  <c r="U24" i="14"/>
  <c r="U18" i="14"/>
  <c r="S13" i="14"/>
  <c r="S30" i="14"/>
  <c r="R19" i="14"/>
  <c r="R25" i="14" s="1"/>
  <c r="R34" i="14" s="1"/>
  <c r="R40" i="14" s="1"/>
  <c r="Y19" i="14"/>
  <c r="Y25" i="14" s="1"/>
  <c r="Y20" i="14" l="1"/>
  <c r="R41" i="14"/>
  <c r="R42" i="14" s="1"/>
  <c r="T30" i="14"/>
  <c r="S24" i="14"/>
  <c r="S18" i="14"/>
  <c r="T24" i="14"/>
  <c r="T18" i="14"/>
  <c r="X18" i="14"/>
  <c r="X24" i="14"/>
  <c r="W19" i="14"/>
  <c r="W25" i="14" s="1"/>
  <c r="R20" i="14"/>
  <c r="U32" i="14"/>
  <c r="V32" i="14" s="1"/>
  <c r="Z19" i="14"/>
  <c r="Z25" i="14" s="1"/>
  <c r="V31" i="14"/>
  <c r="U19" i="14"/>
  <c r="U25" i="14" s="1"/>
  <c r="V24" i="14"/>
  <c r="V18" i="14"/>
  <c r="AA18" i="14"/>
  <c r="AA24" i="14"/>
  <c r="W31" i="14" l="1"/>
  <c r="X31" i="14" s="1"/>
  <c r="W32" i="14"/>
  <c r="U30" i="14"/>
  <c r="U34" i="14" s="1"/>
  <c r="U40" i="14" s="1"/>
  <c r="U41" i="14" s="1"/>
  <c r="AA19" i="14"/>
  <c r="AA25" i="14" s="1"/>
  <c r="U20" i="14"/>
  <c r="Z20" i="14"/>
  <c r="X19" i="14"/>
  <c r="X25" i="14" s="1"/>
  <c r="S19" i="14"/>
  <c r="S25" i="14" s="1"/>
  <c r="S34" i="14" s="1"/>
  <c r="S40" i="14" s="1"/>
  <c r="X32" i="14"/>
  <c r="Y32" i="14" s="1"/>
  <c r="Z32" i="14" s="1"/>
  <c r="V19" i="14"/>
  <c r="V25" i="14" s="1"/>
  <c r="W20" i="14"/>
  <c r="T19" i="14"/>
  <c r="T25" i="14" s="1"/>
  <c r="T34" i="14" s="1"/>
  <c r="T40" i="14" s="1"/>
  <c r="T41" i="14" s="1"/>
  <c r="Y31" i="14" l="1"/>
  <c r="Z31" i="14" s="1"/>
  <c r="AA31" i="14" s="1"/>
  <c r="S20" i="14"/>
  <c r="V30" i="14"/>
  <c r="V34" i="14" s="1"/>
  <c r="V40" i="14" s="1"/>
  <c r="V41" i="14" s="1"/>
  <c r="AA20" i="14"/>
  <c r="T20" i="14"/>
  <c r="AA32" i="14"/>
  <c r="V20" i="14"/>
  <c r="S41" i="14"/>
  <c r="X20" i="14"/>
  <c r="W30" i="14" l="1"/>
  <c r="W34" i="14" s="1"/>
  <c r="W40" i="14" s="1"/>
  <c r="W41" i="14" s="1"/>
  <c r="S42" i="14"/>
  <c r="T42" i="14" l="1"/>
  <c r="U42" i="14" s="1"/>
  <c r="X30" i="14"/>
  <c r="X34" i="14" s="1"/>
  <c r="X40" i="14" s="1"/>
  <c r="X41" i="14" s="1"/>
  <c r="Y30" i="14" l="1"/>
  <c r="Z30" i="14" s="1"/>
  <c r="Z34" i="14" s="1"/>
  <c r="Z40" i="14" s="1"/>
  <c r="Z41" i="14" s="1"/>
  <c r="V42" i="14"/>
  <c r="W42" i="14" s="1"/>
  <c r="X42" i="14" s="1"/>
  <c r="AA30" i="14" l="1"/>
  <c r="AA34" i="14" s="1"/>
  <c r="AA40" i="14" s="1"/>
  <c r="AA41" i="14" s="1"/>
  <c r="Y34" i="14"/>
  <c r="Y40" i="14" s="1"/>
  <c r="Y41" i="14" s="1"/>
  <c r="Y42" i="14" s="1"/>
  <c r="Z42" i="14" s="1"/>
  <c r="Q45" i="14"/>
  <c r="AA42" i="14" l="1"/>
  <c r="Q46" i="14" s="1"/>
  <c r="Q47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camilo</author>
  </authors>
  <commentList>
    <comment ref="F11" authorId="0" shapeId="0" xr:uid="{25B52DC8-08CE-43D1-9E0D-491E775932DE}">
      <text>
        <r>
          <rPr>
            <b/>
            <sz val="9"/>
            <color indexed="81"/>
            <rFont val="Tahoma"/>
            <family val="2"/>
          </rPr>
          <t>https://mathworld.wolfram.com/RandomClosePacking.html</t>
        </r>
      </text>
    </comment>
    <comment ref="F12" authorId="0" shapeId="0" xr:uid="{7EFD1B59-EFF1-4377-AE75-0091B7671478}">
      <text>
        <r>
          <rPr>
            <b/>
            <sz val="9"/>
            <color indexed="81"/>
            <rFont val="Tahoma"/>
            <family val="2"/>
          </rPr>
          <t>https://mathworld.wolfram.com/RandomClosePacking.html</t>
        </r>
      </text>
    </comment>
    <comment ref="G15" authorId="0" shapeId="0" xr:uid="{B770DF89-2E11-4F3A-893B-CD6947E0C986}">
      <text>
        <r>
          <rPr>
            <b/>
            <sz val="9"/>
            <color indexed="81"/>
            <rFont val="Tahoma"/>
            <family val="2"/>
          </rPr>
          <t>https://investpacific.org/costos-competitivos/</t>
        </r>
      </text>
    </comment>
    <comment ref="C30" authorId="0" shapeId="0" xr:uid="{F7488C7A-6343-456C-A56B-FF0F16F1EFA3}">
      <text>
        <r>
          <rPr>
            <b/>
            <sz val="9"/>
            <color indexed="81"/>
            <rFont val="Tahoma"/>
            <family val="2"/>
          </rPr>
          <t>https://www.researchgate.net/publication/340649297_Some_Physical_and_Mechanical_Properties_of_Pear_Fruits_and_Seeds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camilo</author>
  </authors>
  <commentList>
    <comment ref="BC6" authorId="0" shapeId="0" xr:uid="{E2A74D8E-D8FB-48D7-9EB1-54F081F2F582}">
      <text>
        <r>
          <rPr>
            <b/>
            <sz val="9"/>
            <color indexed="81"/>
            <rFont val="Tahoma"/>
            <family val="2"/>
          </rPr>
          <t>https://www.homecenter.com.co/homecenter-co/product/567069/tanque-rotoplast-bicapa-2000-l-ct/567069/</t>
        </r>
      </text>
    </comment>
    <comment ref="BD6" authorId="0" shapeId="0" xr:uid="{D93626B6-623B-48B4-A903-B1B3F9B77B49}">
      <text>
        <r>
          <rPr>
            <b/>
            <sz val="9"/>
            <color indexed="81"/>
            <rFont val="Tahoma"/>
            <family val="2"/>
          </rPr>
          <t>https://www.alibaba.com/product-detail/Cheap-Metal-Fabrication-Customization-Stainless-Steel_1600898591877.html?spm=a2700.galleryofferlist.normal_offer.d_image.5d0c329dY2TksU</t>
        </r>
      </text>
    </comment>
    <comment ref="BF6" authorId="0" shapeId="0" xr:uid="{5A1B6D97-6007-4A4E-BDEA-1A7B734896FE}">
      <text>
        <r>
          <rPr>
            <b/>
            <sz val="9"/>
            <color indexed="81"/>
            <rFont val="Tahoma"/>
            <family val="2"/>
          </rPr>
          <t>https://www.alibaba.com/product-detail/304-316-ss-inox-stainless-steel_1600719711527.html?spm=a2700.galleryofferlist.normal_offer.d_image.5d0c329dY2TksU</t>
        </r>
      </text>
    </comment>
    <comment ref="BB35" authorId="0" shapeId="0" xr:uid="{F55D695E-C5F2-481F-8172-73E5289AA6DB}">
      <text>
        <r>
          <rPr>
            <b/>
            <sz val="9"/>
            <color indexed="81"/>
            <rFont val="Tahoma"/>
            <family val="2"/>
          </rPr>
          <t>https://www.alibaba.com/product-detail/Industrial-Lyophilizer-Freeze-Dryer-Vacuum-Freeze_1600955849897.html?spm=a2700.galleryofferlist.normal_offer.d_image.402f60begPebPl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camilo</author>
  </authors>
  <commentList>
    <comment ref="AD11" authorId="0" shapeId="0" xr:uid="{71864AA5-CE08-49FA-B51F-7A5D34722491}">
      <text>
        <r>
          <rPr>
            <b/>
            <sz val="9"/>
            <color indexed="81"/>
            <rFont val="Tahoma"/>
            <family val="2"/>
          </rPr>
          <t xml:space="preserve">https://www.alibaba.com/product-detail/50L-100L-200L-500L-1000lL-vertical_1600534906533.html?spm=a2700.galleryofferlist.normal_offer.d_price.2e272cf7l74Ajm
</t>
        </r>
      </text>
    </comment>
    <comment ref="AD21" authorId="0" shapeId="0" xr:uid="{A2CBFEA3-CE55-4542-A46B-0033F2B51F0D}">
      <text>
        <r>
          <rPr>
            <b/>
            <sz val="9"/>
            <color indexed="81"/>
            <rFont val="Tahoma"/>
            <family val="2"/>
          </rPr>
          <t>Brand: Mgreenbelt Machinery Co., Ltd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A1418F-B3D1-47AB-AAA8-10C1F2142DF1}" keepAlive="1" name="Consulta - Isobaric Data for P = 858 50 psia" description="Conexión a la consulta 'Isobaric Data for P = 858 50 psia' en el libro." type="5" refreshedVersion="8" minRefreshableVersion="3" background="1" saveData="1">
    <dbPr connection="Provider=Microsoft.Mashup.OleDb.1;Data Source=$Workbook$;Location=&quot;Isobaric Data for P = 858 50 psia&quot;;Extended Properties=&quot;&quot;" command="SELECT * FROM [Isobaric Data for P = 858 50 psi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<sst xmlns="http://schemas.openxmlformats.org/spreadsheetml/2006/main" count="1350" uniqueCount="558">
  <si>
    <t>CONFIGURATION</t>
  </si>
  <si>
    <t>DESIGN FACTORS</t>
  </si>
  <si>
    <t>ATMOSPHERICAL PRESSURE</t>
  </si>
  <si>
    <t>psia</t>
  </si>
  <si>
    <t>SIFTING LOSSES</t>
  </si>
  <si>
    <t>ATMBIENT TEMPERATURE</t>
  </si>
  <si>
    <t>ºC</t>
  </si>
  <si>
    <t>LENGTH TO DIAMETER RATIO</t>
  </si>
  <si>
    <t>OPER DAY</t>
  </si>
  <si>
    <t>h/oper-day</t>
  </si>
  <si>
    <t>ISENTROPIC EFFICIENCY</t>
  </si>
  <si>
    <t>OPER YEAR</t>
  </si>
  <si>
    <t>day/oper-year</t>
  </si>
  <si>
    <t>PUMP DRIVER EFFICIENCY</t>
  </si>
  <si>
    <t>HEAT EXCHANGER PRESSURE DROP</t>
  </si>
  <si>
    <t>EXTRACTION DATA</t>
  </si>
  <si>
    <r>
      <t>CO</t>
    </r>
    <r>
      <rPr>
        <vertAlign val="sub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 xml:space="preserve"> LOSSES</t>
    </r>
  </si>
  <si>
    <t>CONDITIONS</t>
  </si>
  <si>
    <t>TOTAL PRICE FACTOR</t>
  </si>
  <si>
    <t>PRESSURE</t>
  </si>
  <si>
    <t>psig</t>
  </si>
  <si>
    <t>ENERGY FACTOR (RESISTANCES ONLY)</t>
  </si>
  <si>
    <t>TEMPERATURE</t>
  </si>
  <si>
    <t>CUBE PACKED FACTOR</t>
  </si>
  <si>
    <t>YIELD</t>
  </si>
  <si>
    <t>-</t>
  </si>
  <si>
    <t>SPHERE PACKED FACTOR</t>
  </si>
  <si>
    <t>MAXIMUN YIELD</t>
  </si>
  <si>
    <t>MAX. FILL VOLUME IN TANKS</t>
  </si>
  <si>
    <t>TIME</t>
  </si>
  <si>
    <t>min/Ext</t>
  </si>
  <si>
    <t>SOLVENT TO FEED RATIO</t>
  </si>
  <si>
    <t>Ext/min</t>
  </si>
  <si>
    <t>ENERGY COST</t>
  </si>
  <si>
    <t>USD/kW-h</t>
  </si>
  <si>
    <t>EXTRACTIONS PER OPER DAY</t>
  </si>
  <si>
    <t>Ext/oper-day</t>
  </si>
  <si>
    <r>
      <t>CO</t>
    </r>
    <r>
      <rPr>
        <vertAlign val="sub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 xml:space="preserve"> MASS FLOW</t>
    </r>
  </si>
  <si>
    <t>kg/h</t>
  </si>
  <si>
    <t>ENGINEER SALARY (YEAR)</t>
  </si>
  <si>
    <t>COP</t>
  </si>
  <si>
    <t>PACKED BED</t>
  </si>
  <si>
    <t>OPERATOR SALARY (YEAR)</t>
  </si>
  <si>
    <t>SHAPE FACTOR</t>
  </si>
  <si>
    <t>SUPERVISOR SALARY (YEAR)</t>
  </si>
  <si>
    <t>PARTICLE DIAMETER</t>
  </si>
  <si>
    <t>mm</t>
  </si>
  <si>
    <t>PACKAGING DENSITY</t>
  </si>
  <si>
    <t>kg/L</t>
  </si>
  <si>
    <t>COST OF CARBON DIOXIDE</t>
  </si>
  <si>
    <t>USD/kg</t>
  </si>
  <si>
    <t>VOID FRACTION</t>
  </si>
  <si>
    <t>COST OF NITROGEN</t>
  </si>
  <si>
    <t>USD/L</t>
  </si>
  <si>
    <t>EXTRACTOR DIMENSIONS</t>
  </si>
  <si>
    <t>COST OF AVOCADO SEED</t>
  </si>
  <si>
    <t>DIAMETER</t>
  </si>
  <si>
    <t>LENGTH</t>
  </si>
  <si>
    <t>EQUITY</t>
  </si>
  <si>
    <t>RAW MATTER</t>
  </si>
  <si>
    <t>TAX RATE</t>
  </si>
  <si>
    <t>INITIAL MOISTURE CONTENT</t>
  </si>
  <si>
    <t>wet basis</t>
  </si>
  <si>
    <t>REQUIRED MOISTURE CONTENT</t>
  </si>
  <si>
    <t>LOAN INTEREST RATE</t>
  </si>
  <si>
    <t>ESTIMATED SEED BULK DENSITY</t>
  </si>
  <si>
    <t>TOTAL WET</t>
  </si>
  <si>
    <t>kg/oper-day</t>
  </si>
  <si>
    <t>AVOCADO SEED EXTRACT</t>
  </si>
  <si>
    <t>TOTAL DRY (REQ. MOISTURE)</t>
  </si>
  <si>
    <t>TOTAL DRY LOSSES</t>
  </si>
  <si>
    <t>TOTAL DRY AND SIFTED</t>
  </si>
  <si>
    <t>FEED</t>
  </si>
  <si>
    <t>kg/Ext</t>
  </si>
  <si>
    <t>EQUIPMENT SIZING AND COSTING</t>
  </si>
  <si>
    <t>MASS FLOW</t>
  </si>
  <si>
    <t>kg/day</t>
  </si>
  <si>
    <t>TANKS</t>
  </si>
  <si>
    <t>TEMP</t>
  </si>
  <si>
    <t>TK-101</t>
  </si>
  <si>
    <t>TK-102</t>
  </si>
  <si>
    <t>TK-103A</t>
  </si>
  <si>
    <t>TK-103B</t>
  </si>
  <si>
    <t>TK-104</t>
  </si>
  <si>
    <t>PHASE</t>
  </si>
  <si>
    <t>LIQUID</t>
  </si>
  <si>
    <t xml:space="preserve">MAXIMUN RESIDENCE TIME </t>
  </si>
  <si>
    <t>h</t>
  </si>
  <si>
    <t>DESIGNED CAPACITY (WEIGHT)</t>
  </si>
  <si>
    <t>kg</t>
  </si>
  <si>
    <t>OPERATIONAL VOLUME</t>
  </si>
  <si>
    <t>L</t>
  </si>
  <si>
    <t>NOMINAL CAPACITY</t>
  </si>
  <si>
    <t>QUOTED TANK CAPACITY</t>
  </si>
  <si>
    <t>3*200</t>
  </si>
  <si>
    <t>COST OF EQUIPMENT</t>
  </si>
  <si>
    <t>USD</t>
  </si>
  <si>
    <t>VAPOR</t>
  </si>
  <si>
    <t>SOLID</t>
  </si>
  <si>
    <t>SHIPPING FEE</t>
  </si>
  <si>
    <t xml:space="preserve">SUBTOTAL </t>
  </si>
  <si>
    <t>TOTAL</t>
  </si>
  <si>
    <t>CRUSHERS</t>
  </si>
  <si>
    <t>FREEZE-DRYER BATCH SPECS.</t>
  </si>
  <si>
    <t>CR-101</t>
  </si>
  <si>
    <t>CR-102</t>
  </si>
  <si>
    <t>MAX. SUBLIMATION CAPACITY</t>
  </si>
  <si>
    <t>KG</t>
  </si>
  <si>
    <t>CRUSHER TYPE</t>
  </si>
  <si>
    <t>CUTTER</t>
  </si>
  <si>
    <t>DISC</t>
  </si>
  <si>
    <t>MAX. CAPACITY</t>
  </si>
  <si>
    <r>
      <t>m</t>
    </r>
    <r>
      <rPr>
        <vertAlign val="superscript"/>
        <sz val="11"/>
        <color theme="1"/>
        <rFont val="Consolas"/>
        <family val="3"/>
      </rPr>
      <t>3</t>
    </r>
  </si>
  <si>
    <t>INPUT/OUPUT MASS FLOW</t>
  </si>
  <si>
    <t>0-200</t>
  </si>
  <si>
    <t>ELECTRICITY CONSUMPTION</t>
  </si>
  <si>
    <t>kW</t>
  </si>
  <si>
    <t>OUTPUT PARTICLE END SHAPE TYPE</t>
  </si>
  <si>
    <t>CUBE</t>
  </si>
  <si>
    <t>PSD</t>
  </si>
  <si>
    <t>PARTICLE DIAMETER DIMENSIONS</t>
  </si>
  <si>
    <t>1X1X1 cm</t>
  </si>
  <si>
    <t>MESH 20</t>
  </si>
  <si>
    <t>PRE-CUTTER SPECIFICATIONS</t>
  </si>
  <si>
    <t>FEED SIZE</t>
  </si>
  <si>
    <t>&lt;10</t>
  </si>
  <si>
    <t>NOMINAL PATRICLE SIZE</t>
  </si>
  <si>
    <t>MESH</t>
  </si>
  <si>
    <t>FREEZE-DRYER AND SIEVES</t>
  </si>
  <si>
    <t>EQ-101</t>
  </si>
  <si>
    <t>EQ-102</t>
  </si>
  <si>
    <t>3 PHASE MIXTURE</t>
  </si>
  <si>
    <t>DESCRIPTION</t>
  </si>
  <si>
    <r>
      <t>FREEZE DRYER. MAXIMUN FEED CAPACITY OF 15.5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PER BATCH. DEFROST WATER QUANTITY: 500 kg. ELECTRICAL INPUT:36 kW</t>
    </r>
  </si>
  <si>
    <t>ROUND VIBRATING SCREEN. MODEL SC-600 WITH 30 MESH</t>
  </si>
  <si>
    <t>SIEVES SPECIFICATIONS</t>
  </si>
  <si>
    <t>MESH NUMBER</t>
  </si>
  <si>
    <t>30 (0.6 mm)</t>
  </si>
  <si>
    <t>AVERAGE PARTICLE DIAMETER</t>
  </si>
  <si>
    <t>END SHAPE TYPE</t>
  </si>
  <si>
    <t>CUBIC</t>
  </si>
  <si>
    <t>END SHAPE DIMENSIONS</t>
  </si>
  <si>
    <t>1X1X1</t>
  </si>
  <si>
    <t>cm</t>
  </si>
  <si>
    <t>ELECTRICAL ENERGY SUMMARY</t>
  </si>
  <si>
    <t>STREAM SUMMARY TABLE</t>
  </si>
  <si>
    <t>Total electrical power consumption</t>
  </si>
  <si>
    <t>Total electrical energy cosumption</t>
  </si>
  <si>
    <t>kW-h/oy</t>
  </si>
  <si>
    <t>Unidades</t>
  </si>
  <si>
    <t>From</t>
  </si>
  <si>
    <t>To</t>
  </si>
  <si>
    <t>TK-103A/B</t>
  </si>
  <si>
    <t>V-202A/B</t>
  </si>
  <si>
    <t>Pressure</t>
  </si>
  <si>
    <t>Mass flow</t>
  </si>
  <si>
    <r>
      <t>Nitrogen (N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</si>
  <si>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Water</t>
  </si>
  <si>
    <t>Seeds</t>
  </si>
  <si>
    <t>Total</t>
  </si>
  <si>
    <t>PRESSURE VESSELS</t>
  </si>
  <si>
    <t>V-201</t>
  </si>
  <si>
    <t>V-202A</t>
  </si>
  <si>
    <t>V-202B</t>
  </si>
  <si>
    <t>DENSITY</t>
  </si>
  <si>
    <r>
      <t>kg/m</t>
    </r>
    <r>
      <rPr>
        <vertAlign val="superscript"/>
        <sz val="11"/>
        <color theme="1"/>
        <rFont val="Consolas"/>
        <family val="3"/>
      </rPr>
      <t>3</t>
    </r>
  </si>
  <si>
    <t>MAX. OPERATIONAL PRESSURE</t>
  </si>
  <si>
    <t>MPa</t>
  </si>
  <si>
    <t>HENTALPY</t>
  </si>
  <si>
    <t>kJ/kg</t>
  </si>
  <si>
    <t>MAX. OPERATIONAL TEMPERATURE</t>
  </si>
  <si>
    <t>K</t>
  </si>
  <si>
    <t>ENTROPY</t>
  </si>
  <si>
    <t>kJ/kg-K</t>
  </si>
  <si>
    <t>TENSILE STRENGTH</t>
  </si>
  <si>
    <t>CREEP RESISTANCE</t>
  </si>
  <si>
    <t>DESIGN FACTOR</t>
  </si>
  <si>
    <t>DIAMETER RATIO</t>
  </si>
  <si>
    <t>DESIGN PRESSURE</t>
  </si>
  <si>
    <t>MAX. EFFORT FACTOR</t>
  </si>
  <si>
    <t>CREEP LIMIT</t>
  </si>
  <si>
    <t>FATIGUE LIMIT</t>
  </si>
  <si>
    <t>INNER RADIUS</t>
  </si>
  <si>
    <r>
      <t>CO</t>
    </r>
    <r>
      <rPr>
        <vertAlign val="subscript"/>
        <sz val="11"/>
        <color theme="0"/>
        <rFont val="Consolas"/>
        <family val="3"/>
      </rPr>
      <t>2</t>
    </r>
    <r>
      <rPr>
        <sz val="11"/>
        <color theme="0"/>
        <rFont val="Consolas"/>
        <family val="3"/>
      </rPr>
      <t xml:space="preserve"> MASS FLOW</t>
    </r>
  </si>
  <si>
    <t>OUTPUT RADIUS</t>
  </si>
  <si>
    <t>RADIAL THISKNESS</t>
  </si>
  <si>
    <t>QUALITY</t>
  </si>
  <si>
    <t>ALLOWABLE STRESS LIMIT</t>
  </si>
  <si>
    <t>AXIAL THICKNESS</t>
  </si>
  <si>
    <t>HEATER SPECIFICATIONS</t>
  </si>
  <si>
    <t>INNER LENGTH</t>
  </si>
  <si>
    <t>DISCHARGE TEMP.</t>
  </si>
  <si>
    <t>OUTPUT LENGTH</t>
  </si>
  <si>
    <t>PRESSURE DROP</t>
  </si>
  <si>
    <t>psi</t>
  </si>
  <si>
    <t>NET DUTY</t>
  </si>
  <si>
    <t>SS316 BAR DIAMETER REQUIERED</t>
  </si>
  <si>
    <t>SS316 BAR LENGTH  REQUIERED</t>
  </si>
  <si>
    <t xml:space="preserve">TOTAL BAR LENGTH </t>
  </si>
  <si>
    <t>VAPOR-LIQUID</t>
  </si>
  <si>
    <r>
      <t>TOTAL WEIGHT (</t>
    </r>
    <r>
      <rPr>
        <i/>
        <sz val="11"/>
        <color theme="1"/>
        <rFont val="Calibri"/>
        <family val="2"/>
      </rPr>
      <t>ρ</t>
    </r>
    <r>
      <rPr>
        <i/>
        <sz val="12.65"/>
        <color theme="1"/>
        <rFont val="Consolas"/>
        <family val="3"/>
      </rPr>
      <t xml:space="preserve"> = 7981.3 kg/m</t>
    </r>
    <r>
      <rPr>
        <i/>
        <vertAlign val="superscript"/>
        <sz val="12.65"/>
        <color theme="1"/>
        <rFont val="Consolas"/>
        <family val="3"/>
      </rPr>
      <t>3</t>
    </r>
    <r>
      <rPr>
        <i/>
        <sz val="12.65"/>
        <color theme="1"/>
        <rFont val="Consolas"/>
        <family val="3"/>
      </rPr>
      <t>)</t>
    </r>
  </si>
  <si>
    <t>COST OF SS316/WEIGHT (3.56 USD/kg)</t>
  </si>
  <si>
    <t>SHIPPING FEE (0.043 USD/kg)</t>
  </si>
  <si>
    <t xml:space="preserve">SUBTOTAL OF SS316 </t>
  </si>
  <si>
    <t>TOTAL OF SS316</t>
  </si>
  <si>
    <t>MACHINING PROCESS COST</t>
  </si>
  <si>
    <t xml:space="preserve">COST OF JACKET </t>
  </si>
  <si>
    <t>ISENTHALPIC EXPANSION SPECIFICATIONS</t>
  </si>
  <si>
    <t>SUBTOTAL OF EQUIPMENT CONDITIONING</t>
  </si>
  <si>
    <t>DISCHARGE PRESSURE</t>
  </si>
  <si>
    <t>SUBTOTAL EQUIPMENT COST</t>
  </si>
  <si>
    <t>TOTAL EQUIPMENT COST</t>
  </si>
  <si>
    <t>SEPARATORS</t>
  </si>
  <si>
    <t>V-203A</t>
  </si>
  <si>
    <t>V-203B</t>
  </si>
  <si>
    <t>HOLDING</t>
  </si>
  <si>
    <t>PERRUT CYCLONE DIMENSIONS</t>
  </si>
  <si>
    <t>INLET SEP. DIAMETER</t>
  </si>
  <si>
    <t>EXTRACT</t>
  </si>
  <si>
    <t>K VALUE</t>
  </si>
  <si>
    <t>CYLINDER DIAMETER</t>
  </si>
  <si>
    <t>CYLINDER HEIGHT</t>
  </si>
  <si>
    <t>CONE HEIGHT</t>
  </si>
  <si>
    <t>SUMMARY</t>
  </si>
  <si>
    <t>FEED FLOW VELOCITY</t>
  </si>
  <si>
    <t>m/s</t>
  </si>
  <si>
    <t>SUPERCRITIAL</t>
  </si>
  <si>
    <t>HOLDING CAPACITY</t>
  </si>
  <si>
    <t>HOLDING DIAMETER</t>
  </si>
  <si>
    <t>HOLDING HEIGHT</t>
  </si>
  <si>
    <t>SUPERCRITICAL EXTRACTOR SPECIFICATIONS</t>
  </si>
  <si>
    <t>OPERATION SPECIFICACTIONS</t>
  </si>
  <si>
    <t>OPERATION TEMPERATURE</t>
  </si>
  <si>
    <t>OPERATION PRESSURE</t>
  </si>
  <si>
    <t>DIMENSIONS SPECIFICATIONS</t>
  </si>
  <si>
    <t>INNER DIAMETER</t>
  </si>
  <si>
    <t>m</t>
  </si>
  <si>
    <t>BED SPECIFICATIONS</t>
  </si>
  <si>
    <t>BED VOID FRACTION</t>
  </si>
  <si>
    <t>PARTICLE SHAPE FACTOR</t>
  </si>
  <si>
    <t>PISOTON PUMP SPECIFICATIONS</t>
  </si>
  <si>
    <t>DRIVER EFFICIENCY</t>
  </si>
  <si>
    <t>kW-h/Ext</t>
  </si>
  <si>
    <t>REQUIRED WORK TO COMPRESSION</t>
  </si>
  <si>
    <t>kW-h/od</t>
  </si>
  <si>
    <t>DOUBLE PIPE HEAT EXCHANGER</t>
  </si>
  <si>
    <t>STREAM SUMMARY TABLE (DRY BASIS)</t>
  </si>
  <si>
    <t>INNER TUBE DIAMETER</t>
  </si>
  <si>
    <t>OUTPUT TUBE DIAMETER</t>
  </si>
  <si>
    <t>RING TUBE INNER DIAMETER</t>
  </si>
  <si>
    <t>P-201</t>
  </si>
  <si>
    <t>E-201</t>
  </si>
  <si>
    <t>VL-201</t>
  </si>
  <si>
    <t>E-202</t>
  </si>
  <si>
    <t>E-203</t>
  </si>
  <si>
    <t>HYDRAULIC DIAMETER</t>
  </si>
  <si>
    <t>V-203A/B</t>
  </si>
  <si>
    <t>Temperature</t>
  </si>
  <si>
    <r>
      <t>CO</t>
    </r>
    <r>
      <rPr>
        <b/>
        <vertAlign val="subscript"/>
        <sz val="11"/>
        <color theme="1"/>
        <rFont val="Consolas"/>
        <family val="3"/>
      </rPr>
      <t>2</t>
    </r>
    <r>
      <rPr>
        <b/>
        <sz val="11"/>
        <color theme="1"/>
        <rFont val="Consolas"/>
        <family val="3"/>
      </rPr>
      <t xml:space="preserve"> MASS FLOW</t>
    </r>
  </si>
  <si>
    <t>kg/s</t>
  </si>
  <si>
    <r>
      <t>HEAT REMOVED TO CO</t>
    </r>
    <r>
      <rPr>
        <b/>
        <vertAlign val="subscript"/>
        <sz val="11"/>
        <color theme="1"/>
        <rFont val="Consolas"/>
        <family val="3"/>
      </rPr>
      <t>2</t>
    </r>
  </si>
  <si>
    <t>W</t>
  </si>
  <si>
    <r>
      <t>CO</t>
    </r>
    <r>
      <rPr>
        <vertAlign val="subscript"/>
        <sz val="11"/>
        <color theme="1"/>
        <rFont val="Consolas"/>
        <family val="3"/>
      </rPr>
      <t>2</t>
    </r>
  </si>
  <si>
    <t>HEAT REMOVED TO SS</t>
  </si>
  <si>
    <t>Insoluble organic matter</t>
  </si>
  <si>
    <t>HEAT REMOVED</t>
  </si>
  <si>
    <t>Extractable compounds</t>
  </si>
  <si>
    <t>REFRIGERANT FLOW</t>
  </si>
  <si>
    <t>ZONE 1</t>
  </si>
  <si>
    <t>ZONE 2</t>
  </si>
  <si>
    <t>ZONE 3</t>
  </si>
  <si>
    <t>CARBON DIOXIDE PROPERTIES</t>
  </si>
  <si>
    <t>INLET TEMPERATURE</t>
  </si>
  <si>
    <t>OUTLET TEMPERATURE</t>
  </si>
  <si>
    <t>MEAN TEMPERATURE</t>
  </si>
  <si>
    <t>MEAN VISCOSITY</t>
  </si>
  <si>
    <t>Pa·s</t>
  </si>
  <si>
    <t>THERMAL CONDUCTIVITY</t>
  </si>
  <si>
    <t>W/m-K</t>
  </si>
  <si>
    <t>SPECIFIC HEAT AT CONSTANT PRESSURE</t>
  </si>
  <si>
    <t>J/kg-K</t>
  </si>
  <si>
    <t>PRANDLT NUMBER</t>
  </si>
  <si>
    <t>REFRIGERANT PROPERTIES</t>
  </si>
  <si>
    <t>INNER AREA CALCULATIONS</t>
  </si>
  <si>
    <t>REYNOLDS NUMBER</t>
  </si>
  <si>
    <t>FRICTION FACTOR</t>
  </si>
  <si>
    <t>NUSSELT NUMBER</t>
  </si>
  <si>
    <t>CONVECTION COEFFICIENT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</si>
  <si>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</si>
  <si>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RING AREA CALCULATIONS</t>
  </si>
  <si>
    <t>THERMAL RESISTANTS CALCULATIONS</t>
  </si>
  <si>
    <t>INTERNAL CONVECTION RESISTANCE</t>
  </si>
  <si>
    <r>
      <t>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-K/W</t>
    </r>
  </si>
  <si>
    <t>CONDUCTION RESISTANCE</t>
  </si>
  <si>
    <t>EXTERNAL CONVECTION RESISTANCE</t>
  </si>
  <si>
    <t>GLOBAL HEAT TRANSFER COEFFICIENT</t>
  </si>
  <si>
    <r>
      <t>W/m</t>
    </r>
    <r>
      <rPr>
        <b/>
        <vertAlign val="superscript"/>
        <sz val="11"/>
        <color theme="1"/>
        <rFont val="Consolas"/>
        <family val="3"/>
      </rPr>
      <t>2</t>
    </r>
    <r>
      <rPr>
        <b/>
        <sz val="11"/>
        <color theme="1"/>
        <rFont val="Consolas"/>
        <family val="3"/>
      </rPr>
      <t>-K</t>
    </r>
  </si>
  <si>
    <t>HIGH TEMPERATURES DIFFERENCE</t>
  </si>
  <si>
    <t>LOW TEMPERATURES DIFFERENCES</t>
  </si>
  <si>
    <t>LOG. MERAN TEMPERATURE DIFFERENCE</t>
  </si>
  <si>
    <t>HEAT TRANSFER AREA</t>
  </si>
  <si>
    <r>
      <t>m</t>
    </r>
    <r>
      <rPr>
        <b/>
        <vertAlign val="superscript"/>
        <sz val="11"/>
        <color theme="1"/>
        <rFont val="Consolas"/>
        <family val="3"/>
      </rPr>
      <t>2</t>
    </r>
  </si>
  <si>
    <t>TUBE LENGTH</t>
  </si>
  <si>
    <t>TOTAL DOUBLE PIPE HEAT EXCHANGER LENGTH (m)</t>
  </si>
  <si>
    <t>NUMBER OF TUBE REQUIERED (6 m/tube)</t>
  </si>
  <si>
    <t>NUMBER OF INTERNAL TUBE UNITS</t>
  </si>
  <si>
    <t>NUMBER OF EXTERNAL TUBE UNITS</t>
  </si>
  <si>
    <t>COST OF INTERNAL TUBING (800 USD/UN)</t>
  </si>
  <si>
    <t>COST OF EXTERNAL TUBING (75.26 USD/UN)</t>
  </si>
  <si>
    <t>SUBTOTAL</t>
  </si>
  <si>
    <t>HIGH PRESSURE PUMP</t>
  </si>
  <si>
    <t>MODEL</t>
  </si>
  <si>
    <t>MILROYAL C PUMP SERIES</t>
  </si>
  <si>
    <t>TYPE</t>
  </si>
  <si>
    <t>DISC DIAPHRAGM LIQUID END</t>
  </si>
  <si>
    <t>CARBON DIOXIDE FLOW</t>
  </si>
  <si>
    <t>L/H</t>
  </si>
  <si>
    <t>PLUNGER DIAMETER</t>
  </si>
  <si>
    <t>in</t>
  </si>
  <si>
    <t>GEAR RATIO CODE</t>
  </si>
  <si>
    <t>8G</t>
  </si>
  <si>
    <t>MAXIMUN CAPACITY</t>
  </si>
  <si>
    <t>OPERATIONAL ENERGY CONSUPTION</t>
  </si>
  <si>
    <t>MAXIMUN DISCHARGE PRESSURE</t>
  </si>
  <si>
    <t>CHILLER SPECIFICATIONS</t>
  </si>
  <si>
    <t>PUMP SPECIFICATIONS</t>
  </si>
  <si>
    <t>STORAGE TANKS</t>
  </si>
  <si>
    <t>TK-301</t>
  </si>
  <si>
    <t>TK-302</t>
  </si>
  <si>
    <t>OPERATIONAL COP</t>
  </si>
  <si>
    <t>ELECTRICITY CONSUMP</t>
  </si>
  <si>
    <t>INSULATED METHOD</t>
  </si>
  <si>
    <t>YUMBOLON</t>
  </si>
  <si>
    <t>CHILLER</t>
  </si>
  <si>
    <t>E-301</t>
  </si>
  <si>
    <t>BRAND</t>
  </si>
  <si>
    <t>Mgreenbelt Machinery Co., Ltd</t>
  </si>
  <si>
    <t xml:space="preserve">MODEL </t>
  </si>
  <si>
    <t>MG-5C</t>
  </si>
  <si>
    <t>COOLING CAPACITY</t>
  </si>
  <si>
    <t>TEMPERATURE SETPOINT</t>
  </si>
  <si>
    <t>0-5</t>
  </si>
  <si>
    <t xml:space="preserve">ELECTRIC SUPPLY </t>
  </si>
  <si>
    <t>220/60/3</t>
  </si>
  <si>
    <t>REFRIGERANT</t>
  </si>
  <si>
    <t>R407C</t>
  </si>
  <si>
    <t>TOTAL INPUT ENERGY</t>
  </si>
  <si>
    <t>EVAPORATOR TYPE</t>
  </si>
  <si>
    <t>Water Tank with coil</t>
  </si>
  <si>
    <t>PROCESS PUMPS (CENTRYFUGAL)</t>
  </si>
  <si>
    <t>P-301</t>
  </si>
  <si>
    <t>P-302</t>
  </si>
  <si>
    <t>FLOW RATE</t>
  </si>
  <si>
    <r>
      <t>m</t>
    </r>
    <r>
      <rPr>
        <b/>
        <vertAlign val="superscript"/>
        <sz val="11"/>
        <color theme="1"/>
        <rFont val="Consolas"/>
        <family val="3"/>
      </rPr>
      <t>3</t>
    </r>
    <r>
      <rPr>
        <b/>
        <sz val="11"/>
        <color theme="1"/>
        <rFont val="Consolas"/>
        <family val="3"/>
      </rPr>
      <t>/h</t>
    </r>
  </si>
  <si>
    <t>HEAD</t>
  </si>
  <si>
    <t>ENERGY CONSUMPTION</t>
  </si>
  <si>
    <t>V-202/203</t>
  </si>
  <si>
    <t>E-302</t>
  </si>
  <si>
    <t>Ethylene-glycol</t>
  </si>
  <si>
    <t xml:space="preserve">INVESTMENT COST </t>
  </si>
  <si>
    <t>PLANT SUMMARY</t>
  </si>
  <si>
    <t>EQUIPMENT</t>
  </si>
  <si>
    <t>MAIN SPECIFICATION</t>
  </si>
  <si>
    <t>COST (USD)</t>
  </si>
  <si>
    <t>UNIT COST</t>
  </si>
  <si>
    <t>CONSUMPTION</t>
  </si>
  <si>
    <t>YEAR</t>
  </si>
  <si>
    <t>ZONE 100</t>
  </si>
  <si>
    <t xml:space="preserve">500L DEWAR TANK FOR LIQUID N2 </t>
  </si>
  <si>
    <t>RAW MATERIALS</t>
  </si>
  <si>
    <t>2000 L PLASTIC TANK</t>
  </si>
  <si>
    <t>AVOCADO SEED</t>
  </si>
  <si>
    <t>kg/kg-extract</t>
  </si>
  <si>
    <t>PROFIT BALANCE</t>
  </si>
  <si>
    <t>10L STAINLESS STEEL SQUARE TANK</t>
  </si>
  <si>
    <t>CARBON DIOXIDE</t>
  </si>
  <si>
    <t>LIQUID NITROGEN</t>
  </si>
  <si>
    <t>L/kg-extract</t>
  </si>
  <si>
    <t xml:space="preserve">PRODUCTION </t>
  </si>
  <si>
    <t>3*200L STAINLESS STEEL TANK</t>
  </si>
  <si>
    <t>UTILITIES</t>
  </si>
  <si>
    <t>SALES</t>
  </si>
  <si>
    <t>1X1X1 CM CUBE END SATILESS STEEL CUTTER. LOAD OF 31 KG/H</t>
  </si>
  <si>
    <t>ELECTRICITY</t>
  </si>
  <si>
    <t>kW-h/kg-extract</t>
  </si>
  <si>
    <t>SALES COST</t>
  </si>
  <si>
    <t>STAILESS STEEL DISK CRUSHER. OUTPUT 20 MESH. LOAD OF 31 KG/H</t>
  </si>
  <si>
    <t>WASTE TREATMENT</t>
  </si>
  <si>
    <t>USD/lb</t>
  </si>
  <si>
    <t>lb/kg-extract</t>
  </si>
  <si>
    <t>FREEZE DRYER. MAXIMUN SUBLIMATION CAPACITY OF 500 KG/BATCH</t>
  </si>
  <si>
    <t>OPERATING LABOR</t>
  </si>
  <si>
    <t>USD/oper-year</t>
  </si>
  <si>
    <t>oper-year/kg-extract</t>
  </si>
  <si>
    <t>UTILITY GROSS</t>
  </si>
  <si>
    <t xml:space="preserve">540 MM ROUND VIBRATING SCREEN. TOP, MESH 30 AND BUTTOM. </t>
  </si>
  <si>
    <t>OTHER COSTS</t>
  </si>
  <si>
    <t>ZONE 200</t>
  </si>
  <si>
    <t>MONOLITIC SS316 HIGH PRESS (48.3 MPA) VESSEL. 144.74 MM INNER DIAMETER. L/D = 10</t>
  </si>
  <si>
    <t>MAINTENANCE</t>
  </si>
  <si>
    <t>AMORTIZATION</t>
  </si>
  <si>
    <t>MONOLITIC SS316 HIGH PRESS (48.3 MPA) VESSEL. 144.74 MM INNER DIAMETER. L/D = 11</t>
  </si>
  <si>
    <t>ADMINISTRATION COST</t>
  </si>
  <si>
    <t>INTEREST</t>
  </si>
  <si>
    <t>MONOLITIC SS316 HIGH PRESS (48.3 MPA) VESSEL. 144.74 MM INNER DIAMETER. L/D = 12</t>
  </si>
  <si>
    <t>MONOLITIC SS316 HIGH PRESS (48.3 MPA) PERRUT CYCLONE</t>
  </si>
  <si>
    <t>MAIN SUPOSITIONS</t>
  </si>
  <si>
    <t>UTILITY BEFORE TAXES</t>
  </si>
  <si>
    <t>TAXES</t>
  </si>
  <si>
    <t>STAINLESS STEEL DOUBLE PIPE HEAT EXCHANGER. 0.125" INNER TUBE DIAMETER AND 0.25" OUTPUT TUBE DIAMETER. 0.5" INNER RING TUBE DIAMETER</t>
  </si>
  <si>
    <t>DEBT INTEREST RATE</t>
  </si>
  <si>
    <t>%</t>
  </si>
  <si>
    <t>UTILITY AFTER TAXES</t>
  </si>
  <si>
    <t>POSITIVE DISPLACEMENT HIGH PRESSURE PUMP. MAX FLOW OF 176 LPH</t>
  </si>
  <si>
    <t>DEBT PERIOD</t>
  </si>
  <si>
    <t>years</t>
  </si>
  <si>
    <t>TK-201</t>
  </si>
  <si>
    <t>IDUSTRIL 1387L FRIDGE. 0.338 kW</t>
  </si>
  <si>
    <t>STRAIGHT-LINE DEPRECIATION</t>
  </si>
  <si>
    <t>CASH FLOW BALANCE</t>
  </si>
  <si>
    <t>ZONE 300</t>
  </si>
  <si>
    <t>150L STAINLESS STEEL TANK</t>
  </si>
  <si>
    <t>SALE PRICE</t>
  </si>
  <si>
    <t>USD/kg-extract</t>
  </si>
  <si>
    <t>ANNUAL INCREASE</t>
  </si>
  <si>
    <t>OPERATION UTILITY</t>
  </si>
  <si>
    <t xml:space="preserve">CHILLER. COOLING CAPACITY OF 10.5 KW. TEMPERATURE SETPOINT: 0-5ºC. </t>
  </si>
  <si>
    <t>PLANT CAPACITY</t>
  </si>
  <si>
    <t>kg-extract/year</t>
  </si>
  <si>
    <t>TAX</t>
  </si>
  <si>
    <t>CENTRIFUGAL PUMP FOR WATER. 3.6 CUM/H</t>
  </si>
  <si>
    <t>MARKET SIZE</t>
  </si>
  <si>
    <t>SHARE IN FIRST OPERATIONAL YEAR</t>
  </si>
  <si>
    <t>DEPRECIATION</t>
  </si>
  <si>
    <t>ANNUAL SHARE INCREASE</t>
  </si>
  <si>
    <t>YEARS TO ACHIEVE PLANT CAPACITY</t>
  </si>
  <si>
    <t>WORKING CAPITAL</t>
  </si>
  <si>
    <t>TOTAL CAPITAL INVESMENT</t>
  </si>
  <si>
    <t>PORTAFOLIO</t>
  </si>
  <si>
    <t xml:space="preserve">EQUITY </t>
  </si>
  <si>
    <t>INVENTORY</t>
  </si>
  <si>
    <t>COST OF TUBING AND INSTRUMENTATION</t>
  </si>
  <si>
    <t>DEBT</t>
  </si>
  <si>
    <t>SUPPLIERS</t>
  </si>
  <si>
    <t>INVENTORY DAYS</t>
  </si>
  <si>
    <t>days</t>
  </si>
  <si>
    <t>COST OF LAND INVERSION</t>
  </si>
  <si>
    <t>GROSS CASH FLOW</t>
  </si>
  <si>
    <t>SUPPLIERS DEBT</t>
  </si>
  <si>
    <r>
      <t>FIXED CAPITAL INVESTMENT (FCI</t>
    </r>
    <r>
      <rPr>
        <b/>
        <i/>
        <vertAlign val="subscript"/>
        <sz val="11"/>
        <color theme="1"/>
        <rFont val="Consolas"/>
        <family val="3"/>
      </rPr>
      <t>L</t>
    </r>
    <r>
      <rPr>
        <b/>
        <i/>
        <sz val="11"/>
        <color theme="1"/>
        <rFont val="Consolas"/>
        <family val="3"/>
      </rPr>
      <t>)</t>
    </r>
  </si>
  <si>
    <t xml:space="preserve">PORTAFOLIO </t>
  </si>
  <si>
    <t>CAPITAL INVESMENT</t>
  </si>
  <si>
    <t xml:space="preserve">PRODUCTION IN FIRST YEAR </t>
  </si>
  <si>
    <t>FIXED CAPITAL (FCI)</t>
  </si>
  <si>
    <t>OTHERS INCOMES</t>
  </si>
  <si>
    <t>ANALYSIS OF MANUFACTURING COST</t>
  </si>
  <si>
    <t>TOTAL CAPITAL INVESTMENT</t>
  </si>
  <si>
    <t>NET CASH FLOW</t>
  </si>
  <si>
    <t>UNITS</t>
  </si>
  <si>
    <t>VALUE</t>
  </si>
  <si>
    <t>CONTRIBUTION</t>
  </si>
  <si>
    <t>NET PRESENT VALUE</t>
  </si>
  <si>
    <r>
      <t>COST OF RAW MATERIAL (C</t>
    </r>
    <r>
      <rPr>
        <b/>
        <vertAlign val="subscript"/>
        <sz val="11"/>
        <color theme="1"/>
        <rFont val="Consolas"/>
        <family val="3"/>
      </rPr>
      <t>RM</t>
    </r>
    <r>
      <rPr>
        <b/>
        <sz val="11"/>
        <color theme="1"/>
        <rFont val="Consolas"/>
        <family val="3"/>
      </rPr>
      <t>)</t>
    </r>
  </si>
  <si>
    <t>CUMULATIVE NET PRESENT VALUE</t>
  </si>
  <si>
    <r>
      <t>COST OF WASTE TREATMENT (C</t>
    </r>
    <r>
      <rPr>
        <b/>
        <vertAlign val="subscript"/>
        <sz val="11"/>
        <color theme="1"/>
        <rFont val="Consolas"/>
        <family val="3"/>
      </rPr>
      <t>WT</t>
    </r>
    <r>
      <rPr>
        <b/>
        <sz val="11"/>
        <color theme="1"/>
        <rFont val="Consolas"/>
        <family val="3"/>
      </rPr>
      <t>)</t>
    </r>
  </si>
  <si>
    <r>
      <t>COST OF UTILITIES (C</t>
    </r>
    <r>
      <rPr>
        <b/>
        <vertAlign val="subscript"/>
        <sz val="11"/>
        <color theme="1"/>
        <rFont val="Consolas"/>
        <family val="3"/>
      </rPr>
      <t>UT</t>
    </r>
    <r>
      <rPr>
        <b/>
        <sz val="11"/>
        <color theme="1"/>
        <rFont val="Consolas"/>
        <family val="3"/>
      </rPr>
      <t>)</t>
    </r>
  </si>
  <si>
    <t>WACC</t>
  </si>
  <si>
    <t>TOTAL ENERGY COST PER OPER YEAR</t>
  </si>
  <si>
    <r>
      <t>COST OF OPERATING LABOR (C</t>
    </r>
    <r>
      <rPr>
        <b/>
        <vertAlign val="subscript"/>
        <sz val="11"/>
        <color theme="1"/>
        <rFont val="Consolas"/>
        <family val="3"/>
      </rPr>
      <t>OL</t>
    </r>
    <r>
      <rPr>
        <b/>
        <sz val="11"/>
        <color theme="1"/>
        <rFont val="Consolas"/>
        <family val="3"/>
      </rPr>
      <t>)</t>
    </r>
  </si>
  <si>
    <t>IRR</t>
  </si>
  <si>
    <t>TOTAL OPERATING LABOR</t>
  </si>
  <si>
    <t>OTHER COST</t>
  </si>
  <si>
    <t>PROFITABILITY INDEX</t>
  </si>
  <si>
    <t>TOTAL MAINTANCE COST PER YEAR</t>
  </si>
  <si>
    <t>PAYBACK PERIOD</t>
  </si>
  <si>
    <t>TOTAL NITROGEN CONSUMPTION COST</t>
  </si>
  <si>
    <t>TOTAL COST OF MANUFACTURE (COM)</t>
  </si>
  <si>
    <r>
      <t>TOTAL CO</t>
    </r>
    <r>
      <rPr>
        <i/>
        <vertAlign val="subscript"/>
        <sz val="11"/>
        <color theme="1"/>
        <rFont val="Consolas"/>
        <family val="3"/>
      </rPr>
      <t>2</t>
    </r>
    <r>
      <rPr>
        <i/>
        <sz val="11"/>
        <color theme="1"/>
        <rFont val="Consolas"/>
        <family val="3"/>
      </rPr>
      <t xml:space="preserve"> CONSUMPTION COST</t>
    </r>
  </si>
  <si>
    <t>COST INCREASE</t>
  </si>
  <si>
    <t>DEBT COST</t>
  </si>
  <si>
    <t>TOTAL COST OF AVOCADO SEEDS</t>
  </si>
  <si>
    <t>BALANCE</t>
  </si>
  <si>
    <t>GROSS MARGING</t>
  </si>
  <si>
    <t>CAPITAL PAYMENT</t>
  </si>
  <si>
    <t>ANNUITY</t>
  </si>
  <si>
    <t>SALE PRICE INCREMENT</t>
  </si>
  <si>
    <t>INTEREST RATE</t>
  </si>
  <si>
    <t>DEUDA</t>
  </si>
  <si>
    <t>RECURSOS PROPIOS</t>
  </si>
  <si>
    <t>DPRECIATION</t>
  </si>
  <si>
    <t>GROSS MARGIN</t>
  </si>
  <si>
    <t>PBP</t>
  </si>
  <si>
    <t>PI</t>
  </si>
  <si>
    <t>Table of temperature dependence for heat capacity at constant pressure of water-ethylene glycol at 50/50 (v/v)</t>
  </si>
  <si>
    <t>T (K)</t>
  </si>
  <si>
    <t>REFPROP</t>
  </si>
  <si>
    <t>FIT MODEL</t>
  </si>
  <si>
    <t>Absolute relative desviation</t>
  </si>
  <si>
    <t>Fit model parameters</t>
  </si>
  <si>
    <r>
      <t>C</t>
    </r>
    <r>
      <rPr>
        <b/>
        <vertAlign val="subscript"/>
        <sz val="11"/>
        <color theme="0"/>
        <rFont val="Times New Roman"/>
        <family val="1"/>
      </rPr>
      <t>p</t>
    </r>
    <r>
      <rPr>
        <b/>
        <sz val="11"/>
        <color theme="0"/>
        <rFont val="Times New Roman"/>
        <family val="1"/>
      </rPr>
      <t xml:space="preserve"> (kJ/kg-K)</t>
    </r>
  </si>
  <si>
    <t>a</t>
  </si>
  <si>
    <t>b</t>
  </si>
  <si>
    <t>c</t>
  </si>
  <si>
    <t>AARD (%)</t>
  </si>
  <si>
    <r>
      <t>Table of coeficients and exponents of de R. Span &amp; W. Wagner for residual part of dimensionless Helmholtz energy (</t>
    </r>
    <r>
      <rPr>
        <i/>
        <sz val="11"/>
        <color theme="1"/>
        <rFont val="Calibri"/>
        <family val="2"/>
      </rPr>
      <t>φ</t>
    </r>
    <r>
      <rPr>
        <i/>
        <vertAlign val="super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>)</t>
    </r>
  </si>
  <si>
    <t>i</t>
  </si>
  <si>
    <r>
      <t>n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</si>
  <si>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t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</si>
  <si>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a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</si>
  <si>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b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</si>
  <si>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c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</si>
  <si>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d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</si>
  <si>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A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</si>
  <si>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B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</si>
  <si>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C</t>
    </r>
    <r>
      <rPr>
        <b/>
        <i/>
        <vertAlign val="subscript"/>
        <sz val="11"/>
        <color theme="0"/>
        <rFont val="Times New Roman"/>
        <family val="1"/>
      </rPr>
      <t>i</t>
    </r>
  </si>
  <si>
    <r>
      <t>D</t>
    </r>
    <r>
      <rPr>
        <b/>
        <i/>
        <vertAlign val="subscript"/>
        <sz val="11"/>
        <color theme="0"/>
        <rFont val="Times New Roman"/>
        <family val="1"/>
      </rPr>
      <t>i</t>
    </r>
  </si>
  <si>
    <r>
      <rPr>
        <b/>
        <i/>
        <sz val="11"/>
        <color theme="0"/>
        <rFont val="Calibri"/>
        <family val="2"/>
      </rPr>
      <t>α</t>
    </r>
    <r>
      <rPr>
        <b/>
        <i/>
        <vertAlign val="subscript"/>
        <sz val="9.4499999999999993"/>
        <color theme="0"/>
        <rFont val="Times New Roman"/>
        <family val="1"/>
      </rPr>
      <t>i</t>
    </r>
  </si>
  <si>
    <r>
      <rPr>
        <b/>
        <i/>
        <sz val="11"/>
        <color theme="0"/>
        <rFont val="Calibri"/>
        <family val="2"/>
      </rPr>
      <t>β</t>
    </r>
    <r>
      <rPr>
        <b/>
        <i/>
        <vertAlign val="subscript"/>
        <sz val="9.4499999999999993"/>
        <color theme="0"/>
        <rFont val="Times New Roman"/>
        <family val="1"/>
      </rPr>
      <t>i</t>
    </r>
  </si>
  <si>
    <r>
      <t>y</t>
    </r>
    <r>
      <rPr>
        <b/>
        <i/>
        <vertAlign val="subscript"/>
        <sz val="11"/>
        <color theme="0"/>
        <rFont val="Times New Roman"/>
        <family val="1"/>
      </rPr>
      <t>i</t>
    </r>
  </si>
  <si>
    <r>
      <rPr>
        <b/>
        <i/>
        <sz val="11"/>
        <color theme="0"/>
        <rFont val="Calibri"/>
        <family val="2"/>
      </rPr>
      <t>ε</t>
    </r>
    <r>
      <rPr>
        <b/>
        <i/>
        <vertAlign val="subscript"/>
        <sz val="9.4499999999999993"/>
        <color theme="0"/>
        <rFont val="Times New Roman"/>
        <family val="1"/>
      </rPr>
      <t>i</t>
    </r>
  </si>
  <si>
    <r>
      <t>Table of coeficients and exponents of de R. Span &amp; W. Wagner ideal part of dimensionless Helmholtz energy (</t>
    </r>
    <r>
      <rPr>
        <i/>
        <sz val="11"/>
        <color theme="1"/>
        <rFont val="Calibri"/>
        <family val="2"/>
      </rPr>
      <t>φ</t>
    </r>
    <r>
      <rPr>
        <i/>
        <vertAlign val="super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>)</t>
    </r>
  </si>
  <si>
    <r>
      <rPr>
        <b/>
        <sz val="11"/>
        <color theme="0"/>
        <rFont val="Calibri"/>
        <family val="2"/>
      </rPr>
      <t>θ</t>
    </r>
    <r>
      <rPr>
        <b/>
        <i/>
        <vertAlign val="subscript"/>
        <sz val="12.85"/>
        <color theme="0"/>
        <rFont val="Times New Roman"/>
        <family val="1"/>
      </rPr>
      <t>i</t>
    </r>
  </si>
  <si>
    <t>Reference Data for viscosity in μPa·s</t>
  </si>
  <si>
    <t>Parameters</t>
  </si>
  <si>
    <r>
      <t>Density (kg/m</t>
    </r>
    <r>
      <rPr>
        <b/>
        <vertAlign val="superscript"/>
        <sz val="11"/>
        <color theme="0"/>
        <rFont val="Times New Roman"/>
        <family val="1"/>
      </rPr>
      <t>3</t>
    </r>
    <r>
      <rPr>
        <b/>
        <sz val="11"/>
        <color theme="0"/>
        <rFont val="Times New Roman"/>
        <family val="1"/>
      </rPr>
      <t>)</t>
    </r>
  </si>
  <si>
    <t>A</t>
  </si>
  <si>
    <t>B</t>
  </si>
  <si>
    <t>Temperature (K)</t>
  </si>
  <si>
    <t>C</t>
  </si>
  <si>
    <t>D</t>
  </si>
  <si>
    <t>Computed viscosity in μPa·s</t>
  </si>
  <si>
    <t>Absolute error between reference and computed data</t>
  </si>
  <si>
    <r>
      <rPr>
        <i/>
        <sz val="11"/>
        <color theme="1"/>
        <rFont val="Calibri"/>
        <family val="2"/>
      </rPr>
      <t>φ</t>
    </r>
    <r>
      <rPr>
        <i/>
        <vertAlign val="subscript"/>
        <sz val="11"/>
        <color theme="1"/>
        <rFont val="Times New Roman"/>
        <family val="1"/>
      </rPr>
      <t>s</t>
    </r>
  </si>
  <si>
    <t>Shape Factor (1 for perfect sphere)</t>
  </si>
  <si>
    <t>ε</t>
  </si>
  <si>
    <t>Bed void fraction</t>
  </si>
  <si>
    <t>U</t>
  </si>
  <si>
    <t xml:space="preserve">Velocity of supercritical fluid </t>
  </si>
  <si>
    <t>μ</t>
  </si>
  <si>
    <t>Viscosity of supercritical fluid</t>
  </si>
  <si>
    <t>g</t>
  </si>
  <si>
    <t>Gravity</t>
  </si>
  <si>
    <t>ρ</t>
  </si>
  <si>
    <t>Density of supercritical fluid</t>
  </si>
  <si>
    <r>
      <t>D</t>
    </r>
    <r>
      <rPr>
        <i/>
        <vertAlign val="subscript"/>
        <sz val="11"/>
        <color theme="1"/>
        <rFont val="Times New Roman"/>
        <family val="1"/>
      </rPr>
      <t>p</t>
    </r>
  </si>
  <si>
    <t>Particle diameter</t>
  </si>
  <si>
    <t>θ</t>
  </si>
  <si>
    <t>Elevation angle</t>
  </si>
  <si>
    <t>z</t>
  </si>
  <si>
    <t>Length</t>
  </si>
  <si>
    <t>P</t>
  </si>
  <si>
    <t>DESIGNED AND DEVELOPED BY:</t>
  </si>
  <si>
    <t>CONTACT INFO:</t>
  </si>
  <si>
    <t>E-mail</t>
  </si>
  <si>
    <t>Phone</t>
  </si>
  <si>
    <t>jc_delacruzalzate@protonmail.ch</t>
  </si>
  <si>
    <t>(+57) 3218653504</t>
  </si>
  <si>
    <t>JUAN CAMILO DE LA CRUZ ALZATE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</si>
</sst>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(&quot;$&quot;* #,##0.00_);_(&quot;$&quot;* \(#,##0.00\);_(&quot;$&quot;* &quot;-&quot;??_);_(@_)"/>
    <numFmt numFmtId="164" formatCode="0.00000"/>
    <numFmt numFmtId="165" formatCode="0.000"/>
    <numFmt numFmtId="166" formatCode="0.00000000000000000"/>
    <numFmt numFmtId="167" formatCode="0.0"/>
    <numFmt numFmtId="168" formatCode="0.00000000"/>
    <numFmt numFmtId="169" formatCode="&quot;$&quot;#,##0.00"/>
    <numFmt numFmtId="170" formatCode="0.000000"/>
    <numFmt numFmtId="171" formatCode="0.0E+00"/>
    <numFmt numFmtId="172" formatCode="0.0000"/>
    <numFmt numFmtId="173" formatCode="0.0000E+00"/>
    <numFmt numFmtId="174" formatCode="0.0000000"/>
    <numFmt numFmtId="175" formatCode="0.000000000000"/>
    <numFmt numFmtId="176" formatCode="&quot;$&quot;#,##0"/>
    <numFmt numFmtId="177" formatCode="&quot;$&quot;#,##0.000"/>
    <numFmt numFmtId="178" formatCode="0.0%"/>
    <numFmt numFmtId="179" formatCode="0.000%"/>
    <numFmt numFmtId="180" formatCode="#,##0.0"/>
    <numFmt numFmtId="181" formatCode="&quot;$&quot;#,##0.0000"/>
    <numFmt numFmtId="183" formatCode="_(&quot;$&quot;* #,##0_);_(&quot;$&quot;* \(#,##0\);_(&quot;$&quot;* &quot;-&quot;??_);_(@_)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1"/>
      <color theme="1"/>
      <name val="Calibri"/>
      <family val="2"/>
    </font>
    <font>
      <b/>
      <i/>
      <sz val="11"/>
      <color theme="0"/>
      <name val="Times New Roman"/>
      <family val="1"/>
    </font>
    <font>
      <b/>
      <i/>
      <vertAlign val="subscript"/>
      <sz val="11"/>
      <color theme="0"/>
      <name val="Times New Roman"/>
      <family val="1"/>
    </font>
    <font>
      <b/>
      <i/>
      <sz val="11"/>
      <color theme="0"/>
      <name val="Times New Roman"/>
      <family val="2"/>
    </font>
    <font>
      <b/>
      <i/>
      <sz val="11"/>
      <color theme="0"/>
      <name val="Calibri"/>
      <family val="2"/>
    </font>
    <font>
      <b/>
      <i/>
      <vertAlign val="subscript"/>
      <sz val="9.4499999999999993"/>
      <color theme="0"/>
      <name val="Times New Roman"/>
      <family val="1"/>
    </font>
    <font>
      <i/>
      <vertAlign val="superscript"/>
      <sz val="11"/>
      <color theme="1"/>
      <name val="Times New Roman"/>
      <family val="1"/>
    </font>
    <font>
      <b/>
      <sz val="11"/>
      <color theme="0"/>
      <name val="Calibri"/>
      <family val="2"/>
    </font>
    <font>
      <b/>
      <i/>
      <vertAlign val="subscript"/>
      <sz val="12.85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vertAlign val="superscript"/>
      <sz val="11"/>
      <color theme="0"/>
      <name val="Times New Roman"/>
      <family val="1"/>
    </font>
    <font>
      <i/>
      <sz val="11"/>
      <color theme="1"/>
      <name val="Times New Roman"/>
      <family val="2"/>
    </font>
    <font>
      <i/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theme="1"/>
      <name val="Consolas"/>
      <family val="3"/>
    </font>
    <font>
      <b/>
      <sz val="11"/>
      <color theme="0"/>
      <name val="Consolas"/>
      <family val="3"/>
    </font>
    <font>
      <vertAlign val="superscript"/>
      <sz val="11"/>
      <color theme="1"/>
      <name val="Consolas"/>
      <family val="3"/>
    </font>
    <font>
      <sz val="11"/>
      <color theme="0"/>
      <name val="Consolas"/>
      <family val="3"/>
    </font>
    <font>
      <vertAlign val="subscript"/>
      <sz val="11"/>
      <color theme="0"/>
      <name val="Consolas"/>
      <family val="3"/>
    </font>
    <font>
      <b/>
      <sz val="18"/>
      <color theme="0"/>
      <name val="Consolas"/>
      <family val="3"/>
    </font>
    <font>
      <b/>
      <sz val="11"/>
      <color theme="1"/>
      <name val="Consolas"/>
      <family val="3"/>
    </font>
    <font>
      <vertAlign val="subscript"/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onsolas"/>
      <family val="3"/>
    </font>
    <font>
      <i/>
      <sz val="12.65"/>
      <color theme="1"/>
      <name val="Consolas"/>
      <family val="3"/>
    </font>
    <font>
      <i/>
      <vertAlign val="superscript"/>
      <sz val="12.65"/>
      <color theme="1"/>
      <name val="Consolas"/>
      <family val="3"/>
    </font>
    <font>
      <b/>
      <vertAlign val="subscript"/>
      <sz val="11"/>
      <color theme="1"/>
      <name val="Consolas"/>
      <family val="3"/>
    </font>
    <font>
      <b/>
      <vertAlign val="superscript"/>
      <sz val="11"/>
      <color theme="1"/>
      <name val="Consolas"/>
      <family val="3"/>
    </font>
    <font>
      <b/>
      <vertAlign val="subscript"/>
      <sz val="11"/>
      <color theme="0"/>
      <name val="Times New Roman"/>
      <family val="1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onsolas"/>
      <family val="3"/>
    </font>
    <font>
      <b/>
      <i/>
      <vertAlign val="subscript"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sz val="8"/>
      <color theme="1"/>
      <name val="Arial"/>
      <family val="2"/>
    </font>
    <font>
      <b/>
      <sz val="18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1"/>
      <color theme="0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lightUp">
        <fgColor theme="1"/>
        <bgColor auto="1"/>
      </patternFill>
    </fill>
    <fill>
      <patternFill patternType="solid">
        <fgColor theme="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/>
      <bottom/>
      <diagonal/>
    </border>
    <border>
      <left style="dashed">
        <color auto="1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5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1045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1" fillId="0" borderId="1" xfId="0" applyFont="1" applyBorder="1" applyAlignment="1">
      <alignment horizontal="right"/>
    </xf>
    <xf numFmtId="166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/>
    <xf numFmtId="165" fontId="1" fillId="0" borderId="1" xfId="0" applyNumberFormat="1" applyFont="1" applyBorder="1"/>
    <xf numFmtId="0" fontId="1" fillId="0" borderId="1" xfId="0" applyFont="1" applyBorder="1"/>
    <xf numFmtId="167" fontId="1" fillId="0" borderId="1" xfId="0" applyNumberFormat="1" applyFont="1" applyBorder="1"/>
    <xf numFmtId="0" fontId="1" fillId="2" borderId="1" xfId="0" applyFont="1" applyFill="1" applyBorder="1" applyAlignment="1">
      <alignment horizontal="right"/>
    </xf>
    <xf numFmtId="166" fontId="1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/>
    <xf numFmtId="165" fontId="1" fillId="2" borderId="1" xfId="0" applyNumberFormat="1" applyFont="1" applyFill="1" applyBorder="1"/>
    <xf numFmtId="0" fontId="1" fillId="2" borderId="1" xfId="0" applyFont="1" applyFill="1" applyBorder="1"/>
    <xf numFmtId="167" fontId="1" fillId="2" borderId="1" xfId="0" applyNumberFormat="1" applyFont="1" applyFill="1" applyBorder="1"/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/>
    <xf numFmtId="0" fontId="1" fillId="0" borderId="2" xfId="0" applyFont="1" applyBorder="1" applyAlignment="1">
      <alignment horizontal="right"/>
    </xf>
    <xf numFmtId="0" fontId="1" fillId="0" borderId="3" xfId="0" applyFont="1" applyBorder="1"/>
    <xf numFmtId="2" fontId="1" fillId="2" borderId="3" xfId="0" applyNumberFormat="1" applyFont="1" applyFill="1" applyBorder="1"/>
    <xf numFmtId="2" fontId="1" fillId="0" borderId="3" xfId="0" applyNumberFormat="1" applyFont="1" applyBorder="1"/>
    <xf numFmtId="0" fontId="1" fillId="0" borderId="4" xfId="0" applyFont="1" applyBorder="1" applyAlignment="1">
      <alignment horizontal="right"/>
    </xf>
    <xf numFmtId="166" fontId="1" fillId="0" borderId="5" xfId="0" applyNumberFormat="1" applyFont="1" applyBorder="1" applyAlignment="1">
      <alignment horizontal="right"/>
    </xf>
    <xf numFmtId="2" fontId="1" fillId="0" borderId="5" xfId="0" applyNumberFormat="1" applyFont="1" applyBorder="1"/>
    <xf numFmtId="0" fontId="1" fillId="0" borderId="5" xfId="0" applyFont="1" applyBorder="1"/>
    <xf numFmtId="165" fontId="1" fillId="0" borderId="5" xfId="0" applyNumberFormat="1" applyFont="1" applyBorder="1"/>
    <xf numFmtId="167" fontId="1" fillId="0" borderId="5" xfId="0" applyNumberFormat="1" applyFont="1" applyBorder="1"/>
    <xf numFmtId="0" fontId="1" fillId="0" borderId="6" xfId="0" applyFont="1" applyBorder="1"/>
    <xf numFmtId="0" fontId="1" fillId="4" borderId="8" xfId="0" applyFont="1" applyFill="1" applyBorder="1"/>
    <xf numFmtId="2" fontId="1" fillId="4" borderId="9" xfId="0" applyNumberFormat="1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2" fontId="1" fillId="4" borderId="0" xfId="0" applyNumberFormat="1" applyFont="1" applyFill="1"/>
    <xf numFmtId="0" fontId="1" fillId="4" borderId="0" xfId="0" applyFont="1" applyFill="1"/>
    <xf numFmtId="0" fontId="1" fillId="4" borderId="12" xfId="0" applyFont="1" applyFill="1" applyBorder="1"/>
    <xf numFmtId="0" fontId="1" fillId="4" borderId="13" xfId="0" applyFont="1" applyFill="1" applyBorder="1"/>
    <xf numFmtId="2" fontId="1" fillId="4" borderId="7" xfId="0" applyNumberFormat="1" applyFont="1" applyFill="1" applyBorder="1"/>
    <xf numFmtId="0" fontId="1" fillId="4" borderId="7" xfId="0" applyFont="1" applyFill="1" applyBorder="1"/>
    <xf numFmtId="0" fontId="1" fillId="4" borderId="14" xfId="0" applyFont="1" applyFill="1" applyBorder="1"/>
    <xf numFmtId="0" fontId="1" fillId="0" borderId="0" xfId="0" applyFont="1" applyAlignment="1">
      <alignment horizontal="left"/>
    </xf>
    <xf numFmtId="0" fontId="1" fillId="2" borderId="15" xfId="0" applyFont="1" applyFill="1" applyBorder="1" applyAlignment="1">
      <alignment horizontal="right"/>
    </xf>
    <xf numFmtId="166" fontId="1" fillId="2" borderId="16" xfId="0" applyNumberFormat="1" applyFont="1" applyFill="1" applyBorder="1" applyAlignment="1">
      <alignment horizontal="right"/>
    </xf>
    <xf numFmtId="2" fontId="1" fillId="2" borderId="16" xfId="0" applyNumberFormat="1" applyFont="1" applyFill="1" applyBorder="1"/>
    <xf numFmtId="165" fontId="1" fillId="2" borderId="16" xfId="0" applyNumberFormat="1" applyFont="1" applyFill="1" applyBorder="1"/>
    <xf numFmtId="0" fontId="1" fillId="2" borderId="16" xfId="0" applyFont="1" applyFill="1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/>
    <xf numFmtId="0" fontId="3" fillId="3" borderId="18" xfId="0" applyFont="1" applyFill="1" applyBorder="1" applyAlignment="1">
      <alignment horizontal="right"/>
    </xf>
    <xf numFmtId="0" fontId="3" fillId="3" borderId="19" xfId="0" applyFont="1" applyFill="1" applyBorder="1" applyAlignment="1">
      <alignment horizontal="right"/>
    </xf>
    <xf numFmtId="0" fontId="5" fillId="3" borderId="19" xfId="0" applyFont="1" applyFill="1" applyBorder="1" applyAlignment="1">
      <alignment horizontal="right"/>
    </xf>
    <xf numFmtId="0" fontId="5" fillId="3" borderId="20" xfId="0" applyFont="1" applyFill="1" applyBorder="1" applyAlignment="1">
      <alignment horizontal="right"/>
    </xf>
    <xf numFmtId="168" fontId="1" fillId="0" borderId="1" xfId="0" applyNumberFormat="1" applyFont="1" applyBorder="1"/>
    <xf numFmtId="168" fontId="1" fillId="2" borderId="1" xfId="0" applyNumberFormat="1" applyFont="1" applyFill="1" applyBorder="1"/>
    <xf numFmtId="0" fontId="1" fillId="0" borderId="2" xfId="0" applyFont="1" applyBorder="1"/>
    <xf numFmtId="0" fontId="1" fillId="2" borderId="2" xfId="0" applyFont="1" applyFill="1" applyBorder="1"/>
    <xf numFmtId="164" fontId="1" fillId="2" borderId="3" xfId="0" applyNumberFormat="1" applyFont="1" applyFill="1" applyBorder="1"/>
    <xf numFmtId="164" fontId="1" fillId="0" borderId="3" xfId="0" applyNumberFormat="1" applyFont="1" applyBorder="1"/>
    <xf numFmtId="0" fontId="1" fillId="2" borderId="4" xfId="0" applyFont="1" applyFill="1" applyBorder="1"/>
    <xf numFmtId="168" fontId="1" fillId="2" borderId="5" xfId="0" applyNumberFormat="1" applyFont="1" applyFill="1" applyBorder="1"/>
    <xf numFmtId="164" fontId="1" fillId="2" borderId="6" xfId="0" applyNumberFormat="1" applyFont="1" applyFill="1" applyBorder="1"/>
    <xf numFmtId="0" fontId="1" fillId="0" borderId="15" xfId="0" applyFont="1" applyBorder="1"/>
    <xf numFmtId="168" fontId="1" fillId="0" borderId="16" xfId="0" applyNumberFormat="1" applyFont="1" applyBorder="1"/>
    <xf numFmtId="0" fontId="1" fillId="0" borderId="17" xfId="0" applyFont="1" applyBorder="1"/>
    <xf numFmtId="2" fontId="3" fillId="3" borderId="19" xfId="0" applyNumberFormat="1" applyFont="1" applyFill="1" applyBorder="1" applyAlignment="1">
      <alignment horizontal="right"/>
    </xf>
    <xf numFmtId="165" fontId="1" fillId="0" borderId="16" xfId="0" applyNumberFormat="1" applyFont="1" applyBorder="1"/>
    <xf numFmtId="0" fontId="1" fillId="0" borderId="16" xfId="0" applyFont="1" applyBorder="1"/>
    <xf numFmtId="164" fontId="1" fillId="0" borderId="0" xfId="0" applyNumberFormat="1" applyFont="1"/>
    <xf numFmtId="170" fontId="1" fillId="0" borderId="0" xfId="0" applyNumberFormat="1" applyFont="1"/>
    <xf numFmtId="0" fontId="1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65" fontId="1" fillId="0" borderId="23" xfId="0" applyNumberFormat="1" applyFont="1" applyBorder="1" applyAlignment="1">
      <alignment horizontal="center" vertical="center"/>
    </xf>
    <xf numFmtId="165" fontId="1" fillId="0" borderId="25" xfId="0" applyNumberFormat="1" applyFont="1" applyBorder="1" applyAlignment="1">
      <alignment horizontal="center" vertical="center"/>
    </xf>
    <xf numFmtId="165" fontId="1" fillId="0" borderId="24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vertical="center"/>
    </xf>
    <xf numFmtId="11" fontId="1" fillId="0" borderId="0" xfId="0" applyNumberFormat="1" applyFont="1" applyAlignment="1">
      <alignment vertical="center"/>
    </xf>
    <xf numFmtId="171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14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33" xfId="0" applyFont="1" applyBorder="1" applyAlignment="1">
      <alignment horizontal="center"/>
    </xf>
    <xf numFmtId="0" fontId="17" fillId="0" borderId="43" xfId="0" applyFont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2" fontId="17" fillId="0" borderId="33" xfId="0" applyNumberFormat="1" applyFont="1" applyBorder="1" applyAlignment="1">
      <alignment horizontal="center"/>
    </xf>
    <xf numFmtId="172" fontId="17" fillId="0" borderId="33" xfId="0" applyNumberFormat="1" applyFont="1" applyBorder="1" applyAlignment="1">
      <alignment horizontal="center"/>
    </xf>
    <xf numFmtId="167" fontId="17" fillId="0" borderId="33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1" fontId="17" fillId="0" borderId="33" xfId="0" applyNumberFormat="1" applyFont="1" applyBorder="1" applyAlignment="1">
      <alignment horizontal="center"/>
    </xf>
    <xf numFmtId="2" fontId="17" fillId="0" borderId="48" xfId="0" applyNumberFormat="1" applyFont="1" applyBorder="1" applyAlignment="1">
      <alignment horizontal="center"/>
    </xf>
    <xf numFmtId="2" fontId="17" fillId="0" borderId="50" xfId="0" applyNumberFormat="1" applyFont="1" applyBorder="1" applyAlignment="1">
      <alignment horizontal="center"/>
    </xf>
    <xf numFmtId="164" fontId="17" fillId="0" borderId="42" xfId="0" applyNumberFormat="1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17" fillId="2" borderId="38" xfId="0" applyFont="1" applyFill="1" applyBorder="1" applyAlignment="1">
      <alignment horizontal="left"/>
    </xf>
    <xf numFmtId="0" fontId="17" fillId="2" borderId="35" xfId="0" applyFont="1" applyFill="1" applyBorder="1" applyAlignment="1">
      <alignment horizontal="left"/>
    </xf>
    <xf numFmtId="0" fontId="17" fillId="2" borderId="34" xfId="0" applyFont="1" applyFill="1" applyBorder="1" applyAlignment="1">
      <alignment horizontal="left"/>
    </xf>
    <xf numFmtId="0" fontId="17" fillId="2" borderId="23" xfId="0" applyFont="1" applyFill="1" applyBorder="1"/>
    <xf numFmtId="0" fontId="17" fillId="2" borderId="15" xfId="0" applyFont="1" applyFill="1" applyBorder="1"/>
    <xf numFmtId="0" fontId="17" fillId="2" borderId="2" xfId="0" applyFont="1" applyFill="1" applyBorder="1"/>
    <xf numFmtId="0" fontId="17" fillId="2" borderId="49" xfId="0" applyFont="1" applyFill="1" applyBorder="1"/>
    <xf numFmtId="0" fontId="17" fillId="2" borderId="4" xfId="0" applyFont="1" applyFill="1" applyBorder="1"/>
    <xf numFmtId="164" fontId="17" fillId="0" borderId="55" xfId="0" applyNumberFormat="1" applyFont="1" applyBorder="1" applyAlignment="1">
      <alignment horizontal="center"/>
    </xf>
    <xf numFmtId="172" fontId="17" fillId="0" borderId="42" xfId="0" applyNumberFormat="1" applyFont="1" applyBorder="1" applyAlignment="1">
      <alignment horizontal="center"/>
    </xf>
    <xf numFmtId="167" fontId="17" fillId="0" borderId="48" xfId="0" applyNumberFormat="1" applyFont="1" applyBorder="1" applyAlignment="1">
      <alignment horizontal="center"/>
    </xf>
    <xf numFmtId="0" fontId="17" fillId="0" borderId="42" xfId="0" applyFont="1" applyBorder="1" applyAlignment="1">
      <alignment horizontal="center"/>
    </xf>
    <xf numFmtId="167" fontId="17" fillId="0" borderId="43" xfId="0" applyNumberFormat="1" applyFont="1" applyBorder="1" applyAlignment="1">
      <alignment horizontal="center"/>
    </xf>
    <xf numFmtId="164" fontId="17" fillId="0" borderId="43" xfId="0" applyNumberFormat="1" applyFont="1" applyBorder="1" applyAlignment="1">
      <alignment horizontal="center"/>
    </xf>
    <xf numFmtId="167" fontId="17" fillId="0" borderId="42" xfId="0" applyNumberFormat="1" applyFont="1" applyBorder="1" applyAlignment="1">
      <alignment horizontal="center"/>
    </xf>
    <xf numFmtId="1" fontId="17" fillId="0" borderId="43" xfId="0" applyNumberFormat="1" applyFont="1" applyBorder="1" applyAlignment="1">
      <alignment horizontal="center"/>
    </xf>
    <xf numFmtId="0" fontId="17" fillId="0" borderId="47" xfId="0" applyFont="1" applyBorder="1"/>
    <xf numFmtId="0" fontId="17" fillId="0" borderId="47" xfId="0" applyFont="1" applyBorder="1" applyAlignment="1">
      <alignment horizontal="center"/>
    </xf>
    <xf numFmtId="164" fontId="17" fillId="0" borderId="46" xfId="0" applyNumberFormat="1" applyFont="1" applyBorder="1" applyAlignment="1">
      <alignment horizontal="center"/>
    </xf>
    <xf numFmtId="0" fontId="17" fillId="0" borderId="46" xfId="0" applyFont="1" applyBorder="1" applyAlignment="1">
      <alignment horizontal="center"/>
    </xf>
    <xf numFmtId="0" fontId="20" fillId="3" borderId="18" xfId="0" applyFont="1" applyFill="1" applyBorder="1"/>
    <xf numFmtId="164" fontId="17" fillId="0" borderId="61" xfId="0" applyNumberFormat="1" applyFont="1" applyBorder="1" applyAlignment="1">
      <alignment horizontal="center"/>
    </xf>
    <xf numFmtId="172" fontId="17" fillId="0" borderId="61" xfId="0" applyNumberFormat="1" applyFont="1" applyBorder="1" applyAlignment="1">
      <alignment horizontal="center"/>
    </xf>
    <xf numFmtId="2" fontId="17" fillId="0" borderId="61" xfId="0" applyNumberFormat="1" applyFont="1" applyBorder="1" applyAlignment="1">
      <alignment horizontal="center"/>
    </xf>
    <xf numFmtId="0" fontId="17" fillId="0" borderId="8" xfId="0" applyFont="1" applyBorder="1"/>
    <xf numFmtId="0" fontId="17" fillId="0" borderId="9" xfId="0" applyFont="1" applyBorder="1"/>
    <xf numFmtId="0" fontId="17" fillId="0" borderId="10" xfId="0" applyFont="1" applyBorder="1"/>
    <xf numFmtId="0" fontId="17" fillId="0" borderId="11" xfId="0" applyFont="1" applyBorder="1"/>
    <xf numFmtId="0" fontId="17" fillId="0" borderId="0" xfId="0" applyFont="1"/>
    <xf numFmtId="0" fontId="17" fillId="0" borderId="12" xfId="0" applyFont="1" applyBorder="1"/>
    <xf numFmtId="165" fontId="17" fillId="0" borderId="0" xfId="0" applyNumberFormat="1" applyFont="1"/>
    <xf numFmtId="0" fontId="17" fillId="0" borderId="13" xfId="0" applyFont="1" applyBorder="1"/>
    <xf numFmtId="0" fontId="17" fillId="0" borderId="7" xfId="0" applyFont="1" applyBorder="1"/>
    <xf numFmtId="0" fontId="17" fillId="0" borderId="14" xfId="0" applyFont="1" applyBorder="1"/>
    <xf numFmtId="0" fontId="17" fillId="10" borderId="0" xfId="0" applyFont="1" applyFill="1"/>
    <xf numFmtId="0" fontId="22" fillId="0" borderId="0" xfId="0" applyFont="1" applyAlignment="1">
      <alignment vertical="center"/>
    </xf>
    <xf numFmtId="0" fontId="17" fillId="0" borderId="9" xfId="0" applyFont="1" applyBorder="1" applyAlignment="1">
      <alignment horizontal="center"/>
    </xf>
    <xf numFmtId="0" fontId="17" fillId="0" borderId="64" xfId="0" applyFont="1" applyBorder="1" applyAlignment="1">
      <alignment horizontal="center"/>
    </xf>
    <xf numFmtId="0" fontId="17" fillId="0" borderId="65" xfId="0" applyFont="1" applyBorder="1" applyAlignment="1">
      <alignment horizontal="center"/>
    </xf>
    <xf numFmtId="0" fontId="17" fillId="0" borderId="66" xfId="0" applyFont="1" applyBorder="1" applyAlignment="1">
      <alignment horizontal="center"/>
    </xf>
    <xf numFmtId="0" fontId="17" fillId="0" borderId="67" xfId="0" applyFont="1" applyBorder="1" applyAlignment="1">
      <alignment horizontal="center"/>
    </xf>
    <xf numFmtId="0" fontId="17" fillId="0" borderId="68" xfId="0" applyFont="1" applyBorder="1" applyAlignment="1">
      <alignment horizontal="center"/>
    </xf>
    <xf numFmtId="0" fontId="17" fillId="0" borderId="53" xfId="0" applyFont="1" applyBorder="1" applyAlignment="1">
      <alignment horizontal="center" vertical="center"/>
    </xf>
    <xf numFmtId="0" fontId="17" fillId="0" borderId="56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167" fontId="17" fillId="0" borderId="0" xfId="0" applyNumberFormat="1" applyFont="1" applyAlignment="1">
      <alignment horizontal="center" vertical="center"/>
    </xf>
    <xf numFmtId="1" fontId="17" fillId="0" borderId="57" xfId="0" applyNumberFormat="1" applyFont="1" applyBorder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7" fillId="0" borderId="7" xfId="0" applyNumberFormat="1" applyFont="1" applyBorder="1" applyAlignment="1">
      <alignment horizontal="center" vertical="center"/>
    </xf>
    <xf numFmtId="2" fontId="17" fillId="0" borderId="14" xfId="0" applyNumberFormat="1" applyFont="1" applyBorder="1" applyAlignment="1">
      <alignment horizontal="center" vertical="center"/>
    </xf>
    <xf numFmtId="172" fontId="17" fillId="0" borderId="0" xfId="0" applyNumberFormat="1" applyFont="1" applyAlignment="1">
      <alignment horizontal="center" vertical="center"/>
    </xf>
    <xf numFmtId="164" fontId="17" fillId="0" borderId="57" xfId="0" applyNumberFormat="1" applyFont="1" applyBorder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172" fontId="17" fillId="0" borderId="7" xfId="0" applyNumberFormat="1" applyFont="1" applyBorder="1" applyAlignment="1">
      <alignment horizontal="center" vertical="center"/>
    </xf>
    <xf numFmtId="172" fontId="17" fillId="0" borderId="50" xfId="0" applyNumberFormat="1" applyFont="1" applyBorder="1" applyAlignment="1">
      <alignment horizontal="center"/>
    </xf>
    <xf numFmtId="164" fontId="17" fillId="0" borderId="12" xfId="0" applyNumberFormat="1" applyFont="1" applyBorder="1" applyAlignment="1">
      <alignment horizontal="center" vertical="center"/>
    </xf>
    <xf numFmtId="2" fontId="17" fillId="0" borderId="7" xfId="0" applyNumberFormat="1" applyFont="1" applyBorder="1"/>
    <xf numFmtId="172" fontId="17" fillId="0" borderId="12" xfId="0" applyNumberFormat="1" applyFont="1" applyBorder="1" applyAlignment="1">
      <alignment horizontal="center" vertical="center"/>
    </xf>
    <xf numFmtId="164" fontId="17" fillId="0" borderId="44" xfId="0" applyNumberFormat="1" applyFont="1" applyBorder="1" applyAlignment="1">
      <alignment horizontal="center" vertical="center"/>
    </xf>
    <xf numFmtId="167" fontId="17" fillId="0" borderId="12" xfId="0" applyNumberFormat="1" applyFont="1" applyBorder="1" applyAlignment="1">
      <alignment horizontal="center" vertical="center"/>
    </xf>
    <xf numFmtId="1" fontId="17" fillId="0" borderId="44" xfId="0" applyNumberFormat="1" applyFont="1" applyBorder="1" applyAlignment="1">
      <alignment horizontal="center" vertical="center"/>
    </xf>
    <xf numFmtId="173" fontId="17" fillId="0" borderId="0" xfId="0" applyNumberFormat="1" applyFont="1"/>
    <xf numFmtId="2" fontId="17" fillId="0" borderId="0" xfId="0" applyNumberFormat="1" applyFont="1"/>
    <xf numFmtId="172" fontId="17" fillId="0" borderId="0" xfId="0" applyNumberFormat="1" applyFont="1"/>
    <xf numFmtId="0" fontId="17" fillId="12" borderId="0" xfId="0" applyFont="1" applyFill="1"/>
    <xf numFmtId="172" fontId="17" fillId="12" borderId="0" xfId="0" applyNumberFormat="1" applyFont="1" applyFill="1" applyAlignment="1">
      <alignment horizontal="center"/>
    </xf>
    <xf numFmtId="165" fontId="17" fillId="12" borderId="0" xfId="0" applyNumberFormat="1" applyFont="1" applyFill="1" applyAlignment="1">
      <alignment horizontal="center"/>
    </xf>
    <xf numFmtId="0" fontId="17" fillId="9" borderId="0" xfId="0" applyFont="1" applyFill="1" applyAlignment="1">
      <alignment vertical="center"/>
    </xf>
    <xf numFmtId="0" fontId="17" fillId="2" borderId="15" xfId="0" applyFont="1" applyFill="1" applyBorder="1" applyAlignment="1">
      <alignment vertical="center"/>
    </xf>
    <xf numFmtId="167" fontId="17" fillId="0" borderId="43" xfId="0" applyNumberFormat="1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2" borderId="23" xfId="0" applyFont="1" applyFill="1" applyBorder="1" applyAlignment="1">
      <alignment vertical="center"/>
    </xf>
    <xf numFmtId="0" fontId="17" fillId="0" borderId="24" xfId="0" applyFont="1" applyBorder="1" applyAlignment="1">
      <alignment horizontal="center" vertical="center"/>
    </xf>
    <xf numFmtId="0" fontId="17" fillId="2" borderId="62" xfId="0" applyFont="1" applyFill="1" applyBorder="1" applyAlignment="1">
      <alignment vertical="center"/>
    </xf>
    <xf numFmtId="167" fontId="17" fillId="0" borderId="63" xfId="0" applyNumberFormat="1" applyFont="1" applyBorder="1" applyAlignment="1">
      <alignment horizontal="center" vertical="center"/>
    </xf>
    <xf numFmtId="0" fontId="17" fillId="2" borderId="2" xfId="0" applyFont="1" applyFill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7" fillId="2" borderId="4" xfId="0" applyFont="1" applyFill="1" applyBorder="1" applyAlignment="1">
      <alignment vertical="center"/>
    </xf>
    <xf numFmtId="0" fontId="17" fillId="0" borderId="28" xfId="0" applyFont="1" applyBorder="1" applyAlignment="1">
      <alignment horizontal="center" vertical="center"/>
    </xf>
    <xf numFmtId="0" fontId="17" fillId="2" borderId="11" xfId="0" applyFont="1" applyFill="1" applyBorder="1" applyAlignment="1">
      <alignment vertical="center"/>
    </xf>
    <xf numFmtId="0" fontId="17" fillId="2" borderId="2" xfId="0" applyFont="1" applyFill="1" applyBorder="1" applyAlignment="1">
      <alignment horizontal="left" vertical="center"/>
    </xf>
    <xf numFmtId="0" fontId="17" fillId="0" borderId="33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2" fontId="17" fillId="0" borderId="33" xfId="0" applyNumberFormat="1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7" fillId="0" borderId="43" xfId="0" applyFont="1" applyBorder="1" applyAlignment="1">
      <alignment horizontal="center" vertical="center"/>
    </xf>
    <xf numFmtId="165" fontId="17" fillId="0" borderId="33" xfId="0" applyNumberFormat="1" applyFont="1" applyBorder="1" applyAlignment="1">
      <alignment horizontal="center" vertical="center"/>
    </xf>
    <xf numFmtId="172" fontId="17" fillId="0" borderId="42" xfId="0" applyNumberFormat="1" applyFont="1" applyBorder="1" applyAlignment="1">
      <alignment horizontal="center" vertical="center"/>
    </xf>
    <xf numFmtId="0" fontId="17" fillId="2" borderId="69" xfId="0" applyFont="1" applyFill="1" applyBorder="1" applyAlignment="1">
      <alignment vertical="center"/>
    </xf>
    <xf numFmtId="165" fontId="17" fillId="0" borderId="55" xfId="0" applyNumberFormat="1" applyFont="1" applyBorder="1" applyAlignment="1">
      <alignment horizontal="center" vertical="center"/>
    </xf>
    <xf numFmtId="1" fontId="17" fillId="0" borderId="42" xfId="0" applyNumberFormat="1" applyFont="1" applyBorder="1" applyAlignment="1">
      <alignment horizontal="center" vertical="center"/>
    </xf>
    <xf numFmtId="2" fontId="17" fillId="12" borderId="0" xfId="0" applyNumberFormat="1" applyFont="1" applyFill="1" applyAlignment="1">
      <alignment horizontal="center"/>
    </xf>
    <xf numFmtId="1" fontId="17" fillId="12" borderId="0" xfId="0" applyNumberFormat="1" applyFont="1" applyFill="1" applyAlignment="1">
      <alignment horizontal="center"/>
    </xf>
    <xf numFmtId="0" fontId="17" fillId="0" borderId="1" xfId="0" applyFont="1" applyBorder="1" applyAlignment="1">
      <alignment horizontal="center"/>
    </xf>
    <xf numFmtId="167" fontId="17" fillId="0" borderId="1" xfId="0" applyNumberFormat="1" applyFont="1" applyBorder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167" fontId="17" fillId="0" borderId="25" xfId="0" applyNumberFormat="1" applyFont="1" applyBorder="1" applyAlignment="1">
      <alignment horizontal="center"/>
    </xf>
    <xf numFmtId="167" fontId="17" fillId="0" borderId="24" xfId="0" applyNumberFormat="1" applyFont="1" applyBorder="1" applyAlignment="1">
      <alignment horizontal="center"/>
    </xf>
    <xf numFmtId="167" fontId="17" fillId="0" borderId="3" xfId="0" applyNumberFormat="1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2" fontId="17" fillId="0" borderId="3" xfId="0" applyNumberFormat="1" applyFont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/>
    </xf>
    <xf numFmtId="167" fontId="17" fillId="0" borderId="6" xfId="0" applyNumberFormat="1" applyFont="1" applyBorder="1" applyAlignment="1">
      <alignment horizontal="center"/>
    </xf>
    <xf numFmtId="167" fontId="17" fillId="0" borderId="23" xfId="0" applyNumberFormat="1" applyFont="1" applyBorder="1" applyAlignment="1">
      <alignment horizontal="center"/>
    </xf>
    <xf numFmtId="167" fontId="17" fillId="0" borderId="2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2" fontId="17" fillId="0" borderId="2" xfId="0" applyNumberFormat="1" applyFont="1" applyBorder="1" applyAlignment="1">
      <alignment horizontal="center" vertical="center"/>
    </xf>
    <xf numFmtId="167" fontId="17" fillId="0" borderId="4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2" borderId="21" xfId="0" applyFont="1" applyFill="1" applyBorder="1" applyAlignment="1">
      <alignment horizontal="center"/>
    </xf>
    <xf numFmtId="167" fontId="17" fillId="2" borderId="2" xfId="0" applyNumberFormat="1" applyFont="1" applyFill="1" applyBorder="1" applyAlignment="1">
      <alignment horizontal="center"/>
    </xf>
    <xf numFmtId="167" fontId="17" fillId="2" borderId="1" xfId="0" applyNumberFormat="1" applyFont="1" applyFill="1" applyBorder="1" applyAlignment="1">
      <alignment horizontal="center"/>
    </xf>
    <xf numFmtId="167" fontId="17" fillId="2" borderId="3" xfId="0" applyNumberFormat="1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2" fontId="17" fillId="2" borderId="2" xfId="0" applyNumberFormat="1" applyFont="1" applyFill="1" applyBorder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2" fontId="17" fillId="2" borderId="3" xfId="0" applyNumberFormat="1" applyFont="1" applyFill="1" applyBorder="1" applyAlignment="1">
      <alignment horizontal="center" vertical="center"/>
    </xf>
    <xf numFmtId="0" fontId="23" fillId="4" borderId="49" xfId="0" applyFont="1" applyFill="1" applyBorder="1" applyAlignment="1">
      <alignment horizontal="center"/>
    </xf>
    <xf numFmtId="0" fontId="23" fillId="4" borderId="71" xfId="0" applyFont="1" applyFill="1" applyBorder="1" applyAlignment="1">
      <alignment horizontal="center"/>
    </xf>
    <xf numFmtId="0" fontId="23" fillId="4" borderId="72" xfId="0" applyFont="1" applyFill="1" applyBorder="1" applyAlignment="1">
      <alignment horizontal="center"/>
    </xf>
    <xf numFmtId="2" fontId="17" fillId="2" borderId="2" xfId="0" applyNumberFormat="1" applyFont="1" applyFill="1" applyBorder="1" applyAlignment="1">
      <alignment horizontal="center"/>
    </xf>
    <xf numFmtId="2" fontId="17" fillId="2" borderId="1" xfId="0" applyNumberFormat="1" applyFont="1" applyFill="1" applyBorder="1" applyAlignment="1">
      <alignment horizontal="center"/>
    </xf>
    <xf numFmtId="2" fontId="17" fillId="2" borderId="3" xfId="0" applyNumberFormat="1" applyFont="1" applyFill="1" applyBorder="1" applyAlignment="1">
      <alignment horizontal="center"/>
    </xf>
    <xf numFmtId="2" fontId="17" fillId="0" borderId="4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0" fontId="17" fillId="4" borderId="0" xfId="0" applyFont="1" applyFill="1" applyAlignment="1">
      <alignment horizontal="center"/>
    </xf>
    <xf numFmtId="2" fontId="17" fillId="4" borderId="12" xfId="0" applyNumberFormat="1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center" vertical="center"/>
    </xf>
    <xf numFmtId="167" fontId="17" fillId="4" borderId="12" xfId="0" applyNumberFormat="1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/>
    </xf>
    <xf numFmtId="2" fontId="17" fillId="4" borderId="14" xfId="0" applyNumberFormat="1" applyFont="1" applyFill="1" applyBorder="1" applyAlignment="1">
      <alignment horizontal="center" vertical="center"/>
    </xf>
    <xf numFmtId="0" fontId="17" fillId="0" borderId="68" xfId="0" applyFont="1" applyBorder="1"/>
    <xf numFmtId="1" fontId="17" fillId="0" borderId="0" xfId="0" applyNumberFormat="1" applyFont="1"/>
    <xf numFmtId="167" fontId="17" fillId="0" borderId="0" xfId="0" applyNumberFormat="1" applyFont="1"/>
    <xf numFmtId="170" fontId="17" fillId="0" borderId="26" xfId="0" applyNumberFormat="1" applyFont="1" applyBorder="1" applyAlignment="1">
      <alignment horizontal="center"/>
    </xf>
    <xf numFmtId="170" fontId="17" fillId="0" borderId="27" xfId="0" applyNumberFormat="1" applyFont="1" applyBorder="1" applyAlignment="1">
      <alignment horizontal="center"/>
    </xf>
    <xf numFmtId="170" fontId="17" fillId="0" borderId="28" xfId="0" applyNumberFormat="1" applyFont="1" applyBorder="1" applyAlignment="1">
      <alignment horizontal="center"/>
    </xf>
    <xf numFmtId="0" fontId="17" fillId="0" borderId="35" xfId="0" applyFont="1" applyBorder="1" applyAlignment="1">
      <alignment horizontal="center"/>
    </xf>
    <xf numFmtId="0" fontId="17" fillId="0" borderId="70" xfId="0" applyFont="1" applyBorder="1" applyAlignment="1">
      <alignment horizontal="center"/>
    </xf>
    <xf numFmtId="0" fontId="17" fillId="0" borderId="70" xfId="0" applyFont="1" applyBorder="1"/>
    <xf numFmtId="167" fontId="17" fillId="0" borderId="29" xfId="0" applyNumberFormat="1" applyFont="1" applyBorder="1" applyAlignment="1">
      <alignment horizontal="center"/>
    </xf>
    <xf numFmtId="167" fontId="17" fillId="0" borderId="21" xfId="0" applyNumberFormat="1" applyFont="1" applyBorder="1" applyAlignment="1">
      <alignment horizontal="center" vertical="center" wrapText="1"/>
    </xf>
    <xf numFmtId="1" fontId="17" fillId="0" borderId="21" xfId="0" applyNumberFormat="1" applyFont="1" applyBorder="1" applyAlignment="1">
      <alignment horizontal="center"/>
    </xf>
    <xf numFmtId="164" fontId="17" fillId="0" borderId="22" xfId="0" applyNumberFormat="1" applyFont="1" applyBorder="1" applyAlignment="1">
      <alignment horizontal="center"/>
    </xf>
    <xf numFmtId="167" fontId="17" fillId="0" borderId="57" xfId="0" applyNumberFormat="1" applyFont="1" applyBorder="1" applyAlignment="1">
      <alignment horizontal="center"/>
    </xf>
    <xf numFmtId="167" fontId="17" fillId="0" borderId="35" xfId="0" applyNumberFormat="1" applyFont="1" applyBorder="1" applyAlignment="1">
      <alignment horizontal="center"/>
    </xf>
    <xf numFmtId="0" fontId="17" fillId="0" borderId="40" xfId="0" applyFont="1" applyBorder="1" applyAlignment="1">
      <alignment horizontal="center"/>
    </xf>
    <xf numFmtId="174" fontId="17" fillId="0" borderId="35" xfId="0" applyNumberFormat="1" applyFont="1" applyBorder="1" applyAlignment="1">
      <alignment horizontal="center"/>
    </xf>
    <xf numFmtId="164" fontId="17" fillId="0" borderId="35" xfId="0" applyNumberFormat="1" applyFont="1" applyBorder="1" applyAlignment="1">
      <alignment horizontal="center"/>
    </xf>
    <xf numFmtId="2" fontId="17" fillId="0" borderId="40" xfId="0" applyNumberFormat="1" applyFont="1" applyBorder="1" applyAlignment="1">
      <alignment horizontal="center" vertical="center" wrapText="1"/>
    </xf>
    <xf numFmtId="1" fontId="17" fillId="0" borderId="57" xfId="0" applyNumberFormat="1" applyFont="1" applyBorder="1" applyAlignment="1">
      <alignment horizontal="center" vertical="center" wrapText="1"/>
    </xf>
    <xf numFmtId="170" fontId="17" fillId="0" borderId="35" xfId="0" applyNumberFormat="1" applyFont="1" applyBorder="1" applyAlignment="1">
      <alignment horizontal="center" vertical="center" wrapText="1"/>
    </xf>
    <xf numFmtId="167" fontId="17" fillId="0" borderId="35" xfId="0" applyNumberFormat="1" applyFont="1" applyBorder="1" applyAlignment="1">
      <alignment horizontal="center" vertical="center" wrapText="1"/>
    </xf>
    <xf numFmtId="172" fontId="17" fillId="0" borderId="57" xfId="0" applyNumberFormat="1" applyFont="1" applyBorder="1" applyAlignment="1">
      <alignment horizontal="center" vertical="center" wrapText="1"/>
    </xf>
    <xf numFmtId="168" fontId="17" fillId="0" borderId="35" xfId="0" applyNumberFormat="1" applyFont="1" applyBorder="1" applyAlignment="1">
      <alignment horizontal="center" vertical="center" wrapText="1"/>
    </xf>
    <xf numFmtId="172" fontId="17" fillId="0" borderId="40" xfId="0" applyNumberFormat="1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7" fillId="0" borderId="35" xfId="0" applyFont="1" applyBorder="1" applyAlignment="1">
      <alignment horizontal="center" vertical="center" wrapText="1"/>
    </xf>
    <xf numFmtId="0" fontId="17" fillId="0" borderId="40" xfId="0" applyFont="1" applyBorder="1" applyAlignment="1">
      <alignment horizontal="center" vertical="center" wrapText="1"/>
    </xf>
    <xf numFmtId="167" fontId="17" fillId="0" borderId="21" xfId="0" applyNumberFormat="1" applyFont="1" applyBorder="1" applyAlignment="1">
      <alignment horizontal="center"/>
    </xf>
    <xf numFmtId="11" fontId="17" fillId="0" borderId="21" xfId="0" applyNumberFormat="1" applyFont="1" applyBorder="1" applyAlignment="1">
      <alignment horizontal="center"/>
    </xf>
    <xf numFmtId="165" fontId="17" fillId="0" borderId="22" xfId="0" applyNumberFormat="1" applyFont="1" applyBorder="1" applyAlignment="1">
      <alignment horizontal="center" vertical="center" wrapText="1"/>
    </xf>
    <xf numFmtId="174" fontId="17" fillId="0" borderId="21" xfId="0" applyNumberFormat="1" applyFont="1" applyBorder="1" applyAlignment="1">
      <alignment horizontal="center"/>
    </xf>
    <xf numFmtId="164" fontId="17" fillId="0" borderId="21" xfId="0" applyNumberFormat="1" applyFont="1" applyBorder="1" applyAlignment="1">
      <alignment horizontal="center"/>
    </xf>
    <xf numFmtId="2" fontId="17" fillId="0" borderId="22" xfId="0" applyNumberFormat="1" applyFont="1" applyBorder="1" applyAlignment="1">
      <alignment horizontal="center" vertical="center" wrapText="1"/>
    </xf>
    <xf numFmtId="1" fontId="17" fillId="0" borderId="29" xfId="0" applyNumberFormat="1" applyFont="1" applyBorder="1" applyAlignment="1">
      <alignment horizontal="center" vertical="center" wrapText="1"/>
    </xf>
    <xf numFmtId="170" fontId="17" fillId="0" borderId="21" xfId="0" applyNumberFormat="1" applyFont="1" applyBorder="1" applyAlignment="1">
      <alignment horizontal="center" vertical="center" wrapText="1"/>
    </xf>
    <xf numFmtId="1" fontId="17" fillId="0" borderId="22" xfId="0" applyNumberFormat="1" applyFont="1" applyBorder="1" applyAlignment="1">
      <alignment horizontal="center" vertical="center" wrapText="1"/>
    </xf>
    <xf numFmtId="172" fontId="17" fillId="0" borderId="29" xfId="0" applyNumberFormat="1" applyFont="1" applyBorder="1" applyAlignment="1">
      <alignment horizontal="center" vertical="center" wrapText="1"/>
    </xf>
    <xf numFmtId="168" fontId="17" fillId="0" borderId="21" xfId="0" applyNumberFormat="1" applyFont="1" applyBorder="1" applyAlignment="1">
      <alignment horizontal="center" vertical="center" wrapText="1"/>
    </xf>
    <xf numFmtId="172" fontId="17" fillId="0" borderId="22" xfId="0" applyNumberFormat="1" applyFont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23" fillId="4" borderId="70" xfId="0" applyFont="1" applyFill="1" applyBorder="1" applyAlignment="1">
      <alignment horizontal="center"/>
    </xf>
    <xf numFmtId="164" fontId="17" fillId="2" borderId="21" xfId="0" applyNumberFormat="1" applyFont="1" applyFill="1" applyBorder="1" applyAlignment="1">
      <alignment horizontal="center" vertical="center" wrapText="1"/>
    </xf>
    <xf numFmtId="164" fontId="17" fillId="2" borderId="35" xfId="0" applyNumberFormat="1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/>
    </xf>
    <xf numFmtId="167" fontId="17" fillId="2" borderId="22" xfId="0" applyNumberFormat="1" applyFont="1" applyFill="1" applyBorder="1" applyAlignment="1">
      <alignment horizontal="center" vertical="center" wrapText="1"/>
    </xf>
    <xf numFmtId="167" fontId="17" fillId="2" borderId="40" xfId="0" applyNumberFormat="1" applyFont="1" applyFill="1" applyBorder="1" applyAlignment="1">
      <alignment horizontal="center" vertical="center" wrapText="1"/>
    </xf>
    <xf numFmtId="0" fontId="23" fillId="2" borderId="29" xfId="0" applyFont="1" applyFill="1" applyBorder="1" applyAlignment="1">
      <alignment horizontal="center"/>
    </xf>
    <xf numFmtId="167" fontId="17" fillId="2" borderId="29" xfId="0" applyNumberFormat="1" applyFont="1" applyFill="1" applyBorder="1" applyAlignment="1">
      <alignment horizontal="center" vertical="center" wrapText="1"/>
    </xf>
    <xf numFmtId="2" fontId="17" fillId="2" borderId="37" xfId="0" applyNumberFormat="1" applyFont="1" applyFill="1" applyBorder="1" applyAlignment="1">
      <alignment horizontal="center" vertical="center" wrapText="1"/>
    </xf>
    <xf numFmtId="167" fontId="17" fillId="0" borderId="24" xfId="0" applyNumberFormat="1" applyFont="1" applyBorder="1"/>
    <xf numFmtId="0" fontId="17" fillId="0" borderId="6" xfId="0" applyFont="1" applyBorder="1"/>
    <xf numFmtId="0" fontId="17" fillId="0" borderId="57" xfId="0" applyFont="1" applyBorder="1" applyAlignment="1">
      <alignment horizontal="center"/>
    </xf>
    <xf numFmtId="0" fontId="17" fillId="11" borderId="0" xfId="0" applyFont="1" applyFill="1"/>
    <xf numFmtId="0" fontId="27" fillId="4" borderId="0" xfId="0" applyFont="1" applyFill="1" applyAlignment="1">
      <alignment horizontal="right"/>
    </xf>
    <xf numFmtId="0" fontId="27" fillId="4" borderId="0" xfId="0" applyFont="1" applyFill="1" applyAlignment="1">
      <alignment horizontal="center"/>
    </xf>
    <xf numFmtId="175" fontId="17" fillId="0" borderId="0" xfId="0" applyNumberFormat="1" applyFont="1"/>
    <xf numFmtId="167" fontId="27" fillId="4" borderId="0" xfId="0" applyNumberFormat="1" applyFont="1" applyFill="1" applyAlignment="1">
      <alignment horizontal="center"/>
    </xf>
    <xf numFmtId="169" fontId="27" fillId="4" borderId="0" xfId="0" applyNumberFormat="1" applyFont="1" applyFill="1" applyAlignment="1">
      <alignment horizontal="center" vertical="center"/>
    </xf>
    <xf numFmtId="169" fontId="27" fillId="4" borderId="0" xfId="0" applyNumberFormat="1" applyFont="1" applyFill="1" applyAlignment="1">
      <alignment horizontal="center"/>
    </xf>
    <xf numFmtId="9" fontId="27" fillId="4" borderId="0" xfId="1" applyFont="1" applyFill="1" applyBorder="1" applyAlignment="1">
      <alignment horizontal="center"/>
    </xf>
    <xf numFmtId="169" fontId="27" fillId="4" borderId="0" xfId="0" applyNumberFormat="1" applyFont="1" applyFill="1"/>
    <xf numFmtId="0" fontId="17" fillId="4" borderId="0" xfId="0" applyFont="1" applyFill="1" applyAlignment="1">
      <alignment horizontal="right"/>
    </xf>
    <xf numFmtId="0" fontId="17" fillId="4" borderId="0" xfId="0" applyFont="1" applyFill="1"/>
    <xf numFmtId="0" fontId="27" fillId="2" borderId="0" xfId="0" applyFont="1" applyFill="1" applyAlignment="1">
      <alignment horizontal="right"/>
    </xf>
    <xf numFmtId="0" fontId="27" fillId="2" borderId="0" xfId="0" applyFont="1" applyFill="1" applyAlignment="1">
      <alignment horizontal="center"/>
    </xf>
    <xf numFmtId="169" fontId="27" fillId="2" borderId="0" xfId="0" applyNumberFormat="1" applyFont="1" applyFill="1"/>
    <xf numFmtId="0" fontId="27" fillId="0" borderId="0" xfId="0" applyFont="1" applyAlignment="1">
      <alignment horizontal="center"/>
    </xf>
    <xf numFmtId="1" fontId="27" fillId="4" borderId="0" xfId="0" applyNumberFormat="1" applyFont="1" applyFill="1" applyAlignment="1">
      <alignment horizontal="center"/>
    </xf>
    <xf numFmtId="2" fontId="27" fillId="0" borderId="0" xfId="0" applyNumberFormat="1" applyFont="1" applyAlignment="1">
      <alignment horizontal="center"/>
    </xf>
    <xf numFmtId="167" fontId="27" fillId="0" borderId="0" xfId="0" applyNumberFormat="1" applyFont="1" applyAlignment="1">
      <alignment horizontal="center"/>
    </xf>
    <xf numFmtId="169" fontId="27" fillId="0" borderId="0" xfId="0" applyNumberFormat="1" applyFont="1" applyAlignment="1">
      <alignment horizontal="center" vertical="center"/>
    </xf>
    <xf numFmtId="169" fontId="27" fillId="0" borderId="0" xfId="1" applyNumberFormat="1" applyFont="1" applyFill="1" applyBorder="1" applyAlignment="1">
      <alignment horizontal="center"/>
    </xf>
    <xf numFmtId="169" fontId="27" fillId="0" borderId="0" xfId="0" applyNumberFormat="1" applyFont="1" applyAlignment="1">
      <alignment horizontal="center"/>
    </xf>
    <xf numFmtId="169" fontId="27" fillId="0" borderId="0" xfId="0" applyNumberFormat="1" applyFont="1"/>
    <xf numFmtId="169" fontId="27" fillId="2" borderId="0" xfId="0" applyNumberFormat="1" applyFont="1" applyFill="1" applyAlignment="1">
      <alignment horizontal="center"/>
    </xf>
    <xf numFmtId="0" fontId="27" fillId="4" borderId="0" xfId="0" applyFont="1" applyFill="1"/>
    <xf numFmtId="169" fontId="17" fillId="0" borderId="0" xfId="0" applyNumberFormat="1" applyFont="1"/>
    <xf numFmtId="0" fontId="27" fillId="2" borderId="0" xfId="0" applyFont="1" applyFill="1"/>
    <xf numFmtId="0" fontId="17" fillId="2" borderId="0" xfId="0" applyFont="1" applyFill="1"/>
    <xf numFmtId="0" fontId="17" fillId="0" borderId="4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172" fontId="1" fillId="0" borderId="1" xfId="0" applyNumberFormat="1" applyFont="1" applyBorder="1" applyAlignment="1">
      <alignment horizontal="center" vertical="center"/>
    </xf>
    <xf numFmtId="0" fontId="12" fillId="3" borderId="2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172" fontId="1" fillId="0" borderId="25" xfId="0" applyNumberFormat="1" applyFont="1" applyBorder="1" applyAlignment="1">
      <alignment horizontal="center" vertical="center"/>
    </xf>
    <xf numFmtId="173" fontId="1" fillId="0" borderId="24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3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2" fontId="1" fillId="0" borderId="5" xfId="0" applyNumberFormat="1" applyFont="1" applyBorder="1" applyAlignment="1">
      <alignment horizontal="center" vertical="center"/>
    </xf>
    <xf numFmtId="173" fontId="1" fillId="0" borderId="6" xfId="0" applyNumberFormat="1" applyFont="1" applyBorder="1" applyAlignment="1">
      <alignment horizontal="center" vertical="center"/>
    </xf>
    <xf numFmtId="11" fontId="1" fillId="0" borderId="26" xfId="0" applyNumberFormat="1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170" fontId="1" fillId="0" borderId="47" xfId="0" applyNumberFormat="1" applyFont="1" applyBorder="1" applyAlignment="1">
      <alignment horizontal="center" vertical="center"/>
    </xf>
    <xf numFmtId="0" fontId="12" fillId="3" borderId="29" xfId="0" applyFont="1" applyFill="1" applyBorder="1" applyAlignment="1">
      <alignment vertical="center"/>
    </xf>
    <xf numFmtId="0" fontId="12" fillId="3" borderId="21" xfId="0" applyFont="1" applyFill="1" applyBorder="1" applyAlignment="1">
      <alignment vertical="center"/>
    </xf>
    <xf numFmtId="0" fontId="12" fillId="3" borderId="22" xfId="0" applyFont="1" applyFill="1" applyBorder="1" applyAlignment="1">
      <alignment vertical="center"/>
    </xf>
    <xf numFmtId="0" fontId="12" fillId="3" borderId="70" xfId="0" applyFont="1" applyFill="1" applyBorder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4" borderId="9" xfId="0" applyFont="1" applyFill="1" applyBorder="1" applyAlignment="1">
      <alignment vertical="center"/>
    </xf>
    <xf numFmtId="0" fontId="1" fillId="4" borderId="10" xfId="0" applyFont="1" applyFill="1" applyBorder="1" applyAlignment="1">
      <alignment vertical="center"/>
    </xf>
    <xf numFmtId="0" fontId="1" fillId="4" borderId="11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4" borderId="13" xfId="0" applyFont="1" applyFill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0" fontId="1" fillId="4" borderId="14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172" fontId="1" fillId="2" borderId="1" xfId="0" applyNumberFormat="1" applyFont="1" applyFill="1" applyBorder="1" applyAlignment="1">
      <alignment horizontal="center" vertical="center"/>
    </xf>
    <xf numFmtId="173" fontId="1" fillId="2" borderId="3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172" fontId="17" fillId="0" borderId="55" xfId="0" applyNumberFormat="1" applyFont="1" applyBorder="1" applyAlignment="1">
      <alignment horizontal="center"/>
    </xf>
    <xf numFmtId="167" fontId="17" fillId="0" borderId="7" xfId="0" applyNumberFormat="1" applyFont="1" applyBorder="1" applyAlignment="1">
      <alignment horizontal="center" vertical="center"/>
    </xf>
    <xf numFmtId="167" fontId="17" fillId="0" borderId="14" xfId="0" applyNumberFormat="1" applyFont="1" applyBorder="1" applyAlignment="1">
      <alignment horizontal="center" vertical="center"/>
    </xf>
    <xf numFmtId="167" fontId="17" fillId="0" borderId="57" xfId="0" applyNumberFormat="1" applyFont="1" applyBorder="1" applyAlignment="1">
      <alignment horizontal="center" vertical="center"/>
    </xf>
    <xf numFmtId="167" fontId="17" fillId="0" borderId="44" xfId="0" applyNumberFormat="1" applyFont="1" applyBorder="1" applyAlignment="1">
      <alignment horizontal="center" vertical="center"/>
    </xf>
    <xf numFmtId="0" fontId="17" fillId="0" borderId="73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3" fillId="0" borderId="0" xfId="0" applyFont="1"/>
    <xf numFmtId="0" fontId="17" fillId="0" borderId="11" xfId="0" applyFont="1" applyBorder="1" applyAlignment="1">
      <alignment horizontal="center"/>
    </xf>
    <xf numFmtId="0" fontId="17" fillId="0" borderId="59" xfId="0" applyFont="1" applyBorder="1" applyAlignment="1">
      <alignment horizontal="center"/>
    </xf>
    <xf numFmtId="0" fontId="17" fillId="0" borderId="5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45" xfId="0" applyFont="1" applyBorder="1" applyAlignment="1">
      <alignment horizontal="center"/>
    </xf>
    <xf numFmtId="167" fontId="17" fillId="0" borderId="0" xfId="0" applyNumberFormat="1" applyFont="1" applyAlignment="1">
      <alignment horizontal="center"/>
    </xf>
    <xf numFmtId="0" fontId="23" fillId="4" borderId="18" xfId="0" applyFont="1" applyFill="1" applyBorder="1" applyAlignment="1">
      <alignment horizontal="center"/>
    </xf>
    <xf numFmtId="0" fontId="23" fillId="4" borderId="20" xfId="0" applyFont="1" applyFill="1" applyBorder="1" applyAlignment="1">
      <alignment horizontal="center"/>
    </xf>
    <xf numFmtId="0" fontId="23" fillId="2" borderId="59" xfId="0" applyFont="1" applyFill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3" fillId="2" borderId="38" xfId="0" applyFont="1" applyFill="1" applyBorder="1" applyAlignment="1">
      <alignment horizontal="center"/>
    </xf>
    <xf numFmtId="0" fontId="23" fillId="2" borderId="52" xfId="0" applyFont="1" applyFill="1" applyBorder="1" applyAlignment="1">
      <alignment horizontal="center"/>
    </xf>
    <xf numFmtId="0" fontId="23" fillId="0" borderId="8" xfId="0" applyFont="1" applyBorder="1"/>
    <xf numFmtId="0" fontId="23" fillId="0" borderId="9" xfId="0" applyFont="1" applyBorder="1"/>
    <xf numFmtId="0" fontId="23" fillId="0" borderId="10" xfId="0" applyFont="1" applyBorder="1"/>
    <xf numFmtId="0" fontId="23" fillId="0" borderId="11" xfId="0" applyFont="1" applyBorder="1"/>
    <xf numFmtId="0" fontId="23" fillId="0" borderId="12" xfId="0" applyFont="1" applyBorder="1"/>
    <xf numFmtId="0" fontId="23" fillId="0" borderId="13" xfId="0" applyFont="1" applyBorder="1"/>
    <xf numFmtId="0" fontId="23" fillId="0" borderId="7" xfId="0" applyFont="1" applyBorder="1"/>
    <xf numFmtId="0" fontId="23" fillId="0" borderId="14" xfId="0" applyFont="1" applyBorder="1"/>
    <xf numFmtId="9" fontId="17" fillId="9" borderId="0" xfId="0" applyNumberFormat="1" applyFont="1" applyFill="1" applyAlignment="1">
      <alignment vertical="center"/>
    </xf>
    <xf numFmtId="2" fontId="17" fillId="0" borderId="73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164" fontId="17" fillId="0" borderId="11" xfId="0" applyNumberFormat="1" applyFont="1" applyBorder="1" applyAlignment="1">
      <alignment horizontal="center" vertical="center"/>
    </xf>
    <xf numFmtId="2" fontId="17" fillId="0" borderId="13" xfId="0" applyNumberFormat="1" applyFont="1" applyBorder="1" applyAlignment="1">
      <alignment horizontal="center" vertical="center"/>
    </xf>
    <xf numFmtId="167" fontId="17" fillId="0" borderId="59" xfId="0" applyNumberFormat="1" applyFont="1" applyBorder="1" applyAlignment="1">
      <alignment horizontal="center" vertical="center"/>
    </xf>
    <xf numFmtId="2" fontId="17" fillId="0" borderId="48" xfId="0" applyNumberFormat="1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167" fontId="17" fillId="0" borderId="33" xfId="0" applyNumberFormat="1" applyFont="1" applyBorder="1" applyAlignment="1">
      <alignment horizontal="center" vertical="center"/>
    </xf>
    <xf numFmtId="0" fontId="17" fillId="14" borderId="2" xfId="0" applyFont="1" applyFill="1" applyBorder="1" applyAlignment="1">
      <alignment vertical="center"/>
    </xf>
    <xf numFmtId="167" fontId="17" fillId="14" borderId="33" xfId="0" applyNumberFormat="1" applyFont="1" applyFill="1" applyBorder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2" fontId="17" fillId="0" borderId="42" xfId="0" applyNumberFormat="1" applyFont="1" applyBorder="1" applyAlignment="1">
      <alignment horizontal="center" vertical="center"/>
    </xf>
    <xf numFmtId="165" fontId="17" fillId="0" borderId="48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1" xfId="0" applyBorder="1" applyAlignment="1">
      <alignment vertical="center"/>
    </xf>
    <xf numFmtId="0" fontId="17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17" fillId="0" borderId="0" xfId="0" applyNumberFormat="1" applyFon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7" fontId="17" fillId="0" borderId="48" xfId="0" applyNumberFormat="1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0" fillId="0" borderId="56" xfId="0" applyBorder="1" applyAlignment="1">
      <alignment vertical="center"/>
    </xf>
    <xf numFmtId="164" fontId="0" fillId="0" borderId="12" xfId="0" applyNumberFormat="1" applyBorder="1" applyAlignment="1">
      <alignment horizontal="center" vertical="center"/>
    </xf>
    <xf numFmtId="172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5" fontId="17" fillId="0" borderId="7" xfId="0" applyNumberFormat="1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17" fillId="0" borderId="0" xfId="0" applyFont="1" applyAlignment="1">
      <alignment vertical="center"/>
    </xf>
    <xf numFmtId="0" fontId="0" fillId="0" borderId="13" xfId="0" applyBorder="1" applyAlignment="1">
      <alignment vertical="center"/>
    </xf>
    <xf numFmtId="0" fontId="0" fillId="0" borderId="7" xfId="0" applyBorder="1" applyAlignment="1">
      <alignment vertical="center"/>
    </xf>
    <xf numFmtId="164" fontId="17" fillId="0" borderId="7" xfId="0" applyNumberFormat="1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11" borderId="0" xfId="0" applyFill="1" applyAlignment="1">
      <alignment vertical="center"/>
    </xf>
    <xf numFmtId="164" fontId="17" fillId="11" borderId="0" xfId="0" applyNumberFormat="1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172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center" vertical="center"/>
    </xf>
    <xf numFmtId="0" fontId="35" fillId="4" borderId="71" xfId="0" applyFont="1" applyFill="1" applyBorder="1" applyAlignment="1">
      <alignment horizontal="center" vertical="center"/>
    </xf>
    <xf numFmtId="0" fontId="35" fillId="4" borderId="72" xfId="0" applyFont="1" applyFill="1" applyBorder="1" applyAlignment="1">
      <alignment horizontal="center" vertical="center"/>
    </xf>
    <xf numFmtId="0" fontId="35" fillId="2" borderId="21" xfId="0" applyFon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72" fontId="0" fillId="2" borderId="1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2" fontId="27" fillId="4" borderId="0" xfId="0" applyNumberFormat="1" applyFont="1" applyFill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169" fontId="17" fillId="11" borderId="0" xfId="0" applyNumberFormat="1" applyFont="1" applyFill="1"/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5" fillId="2" borderId="2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176" fontId="27" fillId="4" borderId="0" xfId="0" applyNumberFormat="1" applyFont="1" applyFill="1" applyAlignment="1">
      <alignment horizontal="center"/>
    </xf>
    <xf numFmtId="176" fontId="27" fillId="2" borderId="0" xfId="0" applyNumberFormat="1" applyFont="1" applyFill="1" applyAlignment="1">
      <alignment horizontal="center"/>
    </xf>
    <xf numFmtId="0" fontId="0" fillId="11" borderId="0" xfId="0" applyFill="1" applyAlignment="1">
      <alignment horizontal="left" vertical="center"/>
    </xf>
    <xf numFmtId="0" fontId="17" fillId="9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169" fontId="17" fillId="0" borderId="0" xfId="0" applyNumberFormat="1" applyFont="1" applyAlignment="1">
      <alignment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1" xfId="0" applyFont="1" applyBorder="1" applyAlignment="1">
      <alignment horizontal="left" vertical="center"/>
    </xf>
    <xf numFmtId="0" fontId="17" fillId="0" borderId="22" xfId="0" applyFont="1" applyBorder="1" applyAlignment="1">
      <alignment horizontal="left" vertical="center"/>
    </xf>
    <xf numFmtId="0" fontId="17" fillId="0" borderId="67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29" xfId="0" applyFont="1" applyBorder="1" applyAlignment="1">
      <alignment horizontal="left" vertical="center"/>
    </xf>
    <xf numFmtId="169" fontId="17" fillId="0" borderId="26" xfId="0" applyNumberFormat="1" applyFont="1" applyBorder="1" applyAlignment="1">
      <alignment vertical="center"/>
    </xf>
    <xf numFmtId="169" fontId="17" fillId="0" borderId="27" xfId="0" applyNumberFormat="1" applyFont="1" applyBorder="1" applyAlignment="1">
      <alignment vertical="center"/>
    </xf>
    <xf numFmtId="169" fontId="17" fillId="0" borderId="28" xfId="0" applyNumberFormat="1" applyFont="1" applyBorder="1" applyAlignment="1">
      <alignment vertical="center"/>
    </xf>
    <xf numFmtId="0" fontId="23" fillId="4" borderId="64" xfId="0" applyFont="1" applyFill="1" applyBorder="1" applyAlignment="1">
      <alignment horizontal="center" vertical="center"/>
    </xf>
    <xf numFmtId="0" fontId="23" fillId="4" borderId="64" xfId="0" applyFont="1" applyFill="1" applyBorder="1" applyAlignment="1">
      <alignment vertical="center"/>
    </xf>
    <xf numFmtId="0" fontId="23" fillId="4" borderId="10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left" vertical="center"/>
    </xf>
    <xf numFmtId="169" fontId="17" fillId="2" borderId="27" xfId="0" applyNumberFormat="1" applyFont="1" applyFill="1" applyBorder="1" applyAlignment="1">
      <alignment vertical="center"/>
    </xf>
    <xf numFmtId="0" fontId="17" fillId="2" borderId="29" xfId="0" applyFont="1" applyFill="1" applyBorder="1" applyAlignment="1">
      <alignment horizontal="center" vertical="center"/>
    </xf>
    <xf numFmtId="0" fontId="17" fillId="2" borderId="29" xfId="0" applyFont="1" applyFill="1" applyBorder="1" applyAlignment="1">
      <alignment horizontal="left" vertical="center"/>
    </xf>
    <xf numFmtId="169" fontId="17" fillId="2" borderId="26" xfId="0" applyNumberFormat="1" applyFont="1" applyFill="1" applyBorder="1" applyAlignment="1">
      <alignment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169" fontId="17" fillId="2" borderId="28" xfId="0" applyNumberFormat="1" applyFont="1" applyFill="1" applyBorder="1" applyAlignment="1">
      <alignment vertical="center"/>
    </xf>
    <xf numFmtId="169" fontId="17" fillId="0" borderId="70" xfId="0" applyNumberFormat="1" applyFont="1" applyBorder="1" applyAlignment="1">
      <alignment vertical="center"/>
    </xf>
    <xf numFmtId="0" fontId="17" fillId="9" borderId="45" xfId="0" applyFont="1" applyFill="1" applyBorder="1" applyAlignment="1">
      <alignment vertical="center"/>
    </xf>
    <xf numFmtId="2" fontId="1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167" fontId="17" fillId="12" borderId="0" xfId="0" applyNumberFormat="1" applyFont="1" applyFill="1" applyAlignment="1">
      <alignment horizontal="center"/>
    </xf>
    <xf numFmtId="0" fontId="17" fillId="9" borderId="47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vertical="center"/>
    </xf>
    <xf numFmtId="0" fontId="17" fillId="9" borderId="10" xfId="0" applyFont="1" applyFill="1" applyBorder="1" applyAlignment="1">
      <alignment horizontal="center" vertical="center"/>
    </xf>
    <xf numFmtId="2" fontId="17" fillId="9" borderId="11" xfId="0" applyNumberFormat="1" applyFont="1" applyFill="1" applyBorder="1" applyAlignment="1">
      <alignment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175" fontId="17" fillId="9" borderId="11" xfId="0" applyNumberFormat="1" applyFont="1" applyFill="1" applyBorder="1" applyAlignment="1">
      <alignment vertical="center"/>
    </xf>
    <xf numFmtId="0" fontId="17" fillId="9" borderId="13" xfId="0" applyFont="1" applyFill="1" applyBorder="1" applyAlignment="1">
      <alignment vertical="center"/>
    </xf>
    <xf numFmtId="177" fontId="17" fillId="9" borderId="9" xfId="0" applyNumberFormat="1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vertical="center"/>
    </xf>
    <xf numFmtId="172" fontId="17" fillId="9" borderId="11" xfId="0" applyNumberFormat="1" applyFont="1" applyFill="1" applyBorder="1" applyAlignment="1">
      <alignment vertical="center"/>
    </xf>
    <xf numFmtId="0" fontId="17" fillId="9" borderId="12" xfId="0" applyFont="1" applyFill="1" applyBorder="1" applyAlignment="1">
      <alignment vertical="center"/>
    </xf>
    <xf numFmtId="169" fontId="17" fillId="9" borderId="0" xfId="0" applyNumberFormat="1" applyFont="1" applyFill="1" applyAlignment="1">
      <alignment horizontal="center" vertical="center"/>
    </xf>
    <xf numFmtId="169" fontId="17" fillId="9" borderId="7" xfId="0" applyNumberFormat="1" applyFont="1" applyFill="1" applyBorder="1" applyAlignment="1">
      <alignment horizontal="center" vertical="center"/>
    </xf>
    <xf numFmtId="0" fontId="17" fillId="0" borderId="8" xfId="0" applyFont="1" applyBorder="1" applyAlignment="1">
      <alignment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0" fontId="17" fillId="0" borderId="11" xfId="0" applyFont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13" xfId="0" applyFont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14" xfId="0" applyFont="1" applyBorder="1" applyAlignment="1">
      <alignment vertical="center"/>
    </xf>
    <xf numFmtId="0" fontId="17" fillId="4" borderId="0" xfId="0" applyFont="1" applyFill="1" applyAlignment="1">
      <alignment vertical="center"/>
    </xf>
    <xf numFmtId="0" fontId="38" fillId="4" borderId="0" xfId="0" applyFont="1" applyFill="1" applyAlignment="1">
      <alignment horizontal="right" vertical="center"/>
    </xf>
    <xf numFmtId="169" fontId="27" fillId="4" borderId="0" xfId="0" applyNumberFormat="1" applyFont="1" applyFill="1" applyAlignment="1">
      <alignment horizontal="right" vertical="center"/>
    </xf>
    <xf numFmtId="169" fontId="27" fillId="4" borderId="0" xfId="0" applyNumberFormat="1" applyFont="1" applyFill="1" applyAlignment="1">
      <alignment vertical="center"/>
    </xf>
    <xf numFmtId="0" fontId="38" fillId="4" borderId="0" xfId="0" applyFont="1" applyFill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38" fillId="2" borderId="0" xfId="0" applyFont="1" applyFill="1" applyAlignment="1">
      <alignment horizontal="right" vertical="center"/>
    </xf>
    <xf numFmtId="169" fontId="27" fillId="2" borderId="0" xfId="0" applyNumberFormat="1" applyFont="1" applyFill="1" applyAlignment="1">
      <alignment horizontal="center" vertical="center"/>
    </xf>
    <xf numFmtId="169" fontId="27" fillId="2" borderId="0" xfId="0" applyNumberFormat="1" applyFont="1" applyFill="1" applyAlignment="1">
      <alignment horizontal="right" vertical="center"/>
    </xf>
    <xf numFmtId="169" fontId="27" fillId="2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 textRotation="90" wrapText="1"/>
    </xf>
    <xf numFmtId="164" fontId="17" fillId="9" borderId="46" xfId="0" applyNumberFormat="1" applyFont="1" applyFill="1" applyBorder="1" applyAlignment="1">
      <alignment horizontal="center" vertical="center"/>
    </xf>
    <xf numFmtId="0" fontId="17" fillId="0" borderId="68" xfId="0" applyFont="1" applyBorder="1" applyAlignment="1">
      <alignment vertical="center"/>
    </xf>
    <xf numFmtId="169" fontId="17" fillId="0" borderId="14" xfId="0" applyNumberFormat="1" applyFont="1" applyBorder="1" applyAlignment="1">
      <alignment vertical="center"/>
    </xf>
    <xf numFmtId="169" fontId="17" fillId="0" borderId="56" xfId="0" applyNumberFormat="1" applyFont="1" applyBorder="1" applyAlignment="1">
      <alignment vertical="center"/>
    </xf>
    <xf numFmtId="0" fontId="17" fillId="2" borderId="26" xfId="0" applyFont="1" applyFill="1" applyBorder="1" applyAlignment="1">
      <alignment horizontal="left" vertical="center"/>
    </xf>
    <xf numFmtId="0" fontId="17" fillId="0" borderId="27" xfId="0" applyFont="1" applyBorder="1" applyAlignment="1">
      <alignment horizontal="left" vertical="center"/>
    </xf>
    <xf numFmtId="0" fontId="17" fillId="2" borderId="27" xfId="0" applyFont="1" applyFill="1" applyBorder="1" applyAlignment="1">
      <alignment horizontal="left" vertical="center"/>
    </xf>
    <xf numFmtId="0" fontId="17" fillId="0" borderId="56" xfId="0" applyFont="1" applyBorder="1" applyAlignment="1">
      <alignment horizontal="left" vertical="center"/>
    </xf>
    <xf numFmtId="0" fontId="17" fillId="0" borderId="68" xfId="0" applyFont="1" applyBorder="1" applyAlignment="1">
      <alignment horizontal="center" vertical="center"/>
    </xf>
    <xf numFmtId="0" fontId="17" fillId="2" borderId="66" xfId="0" applyFont="1" applyFill="1" applyBorder="1" applyAlignment="1">
      <alignment horizontal="center" vertical="center"/>
    </xf>
    <xf numFmtId="0" fontId="17" fillId="2" borderId="66" xfId="0" applyFont="1" applyFill="1" applyBorder="1" applyAlignment="1">
      <alignment horizontal="left" vertical="center"/>
    </xf>
    <xf numFmtId="169" fontId="17" fillId="2" borderId="44" xfId="0" applyNumberFormat="1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11" borderId="0" xfId="0" applyFont="1" applyFill="1" applyAlignment="1">
      <alignment vertical="center"/>
    </xf>
    <xf numFmtId="169" fontId="17" fillId="0" borderId="1" xfId="0" applyNumberFormat="1" applyFont="1" applyBorder="1" applyAlignment="1">
      <alignment horizontal="center" vertical="center"/>
    </xf>
    <xf numFmtId="169" fontId="17" fillId="0" borderId="3" xfId="0" applyNumberFormat="1" applyFont="1" applyBorder="1" applyAlignment="1">
      <alignment horizontal="center" vertical="center"/>
    </xf>
    <xf numFmtId="169" fontId="17" fillId="0" borderId="5" xfId="0" applyNumberFormat="1" applyFont="1" applyBorder="1" applyAlignment="1">
      <alignment horizontal="center" vertical="center"/>
    </xf>
    <xf numFmtId="169" fontId="17" fillId="0" borderId="6" xfId="0" applyNumberFormat="1" applyFont="1" applyBorder="1" applyAlignment="1">
      <alignment horizontal="center" vertical="center"/>
    </xf>
    <xf numFmtId="179" fontId="17" fillId="0" borderId="0" xfId="0" applyNumberFormat="1" applyFont="1" applyAlignment="1">
      <alignment horizontal="center" vertical="center"/>
    </xf>
    <xf numFmtId="9" fontId="17" fillId="0" borderId="35" xfId="1" applyFont="1" applyBorder="1" applyAlignment="1">
      <alignment horizontal="center" vertical="center"/>
    </xf>
    <xf numFmtId="179" fontId="17" fillId="0" borderId="35" xfId="1" applyNumberFormat="1" applyFont="1" applyBorder="1" applyAlignment="1">
      <alignment horizontal="center" vertical="center"/>
    </xf>
    <xf numFmtId="179" fontId="17" fillId="0" borderId="40" xfId="1" applyNumberFormat="1" applyFont="1" applyBorder="1" applyAlignment="1">
      <alignment horizontal="center" vertical="center"/>
    </xf>
    <xf numFmtId="9" fontId="17" fillId="0" borderId="35" xfId="0" applyNumberFormat="1" applyFont="1" applyBorder="1" applyAlignment="1">
      <alignment horizontal="center" vertical="center"/>
    </xf>
    <xf numFmtId="9" fontId="17" fillId="0" borderId="40" xfId="0" applyNumberFormat="1" applyFont="1" applyBorder="1" applyAlignment="1">
      <alignment horizontal="center" vertical="center"/>
    </xf>
    <xf numFmtId="167" fontId="17" fillId="0" borderId="21" xfId="0" applyNumberFormat="1" applyFont="1" applyBorder="1" applyAlignment="1">
      <alignment horizontal="center" vertical="center"/>
    </xf>
    <xf numFmtId="167" fontId="17" fillId="0" borderId="22" xfId="0" applyNumberFormat="1" applyFont="1" applyBorder="1" applyAlignment="1">
      <alignment horizontal="center" vertical="center"/>
    </xf>
    <xf numFmtId="179" fontId="17" fillId="0" borderId="21" xfId="0" applyNumberFormat="1" applyFont="1" applyBorder="1" applyAlignment="1">
      <alignment horizontal="center" vertical="center"/>
    </xf>
    <xf numFmtId="179" fontId="17" fillId="0" borderId="22" xfId="0" applyNumberFormat="1" applyFont="1" applyBorder="1" applyAlignment="1">
      <alignment horizontal="center" vertical="center"/>
    </xf>
    <xf numFmtId="178" fontId="17" fillId="0" borderId="21" xfId="0" applyNumberFormat="1" applyFont="1" applyBorder="1" applyAlignment="1">
      <alignment horizontal="center" vertical="center"/>
    </xf>
    <xf numFmtId="9" fontId="17" fillId="0" borderId="22" xfId="0" applyNumberFormat="1" applyFont="1" applyBorder="1" applyAlignment="1">
      <alignment horizontal="center" vertical="center"/>
    </xf>
    <xf numFmtId="179" fontId="17" fillId="2" borderId="57" xfId="1" applyNumberFormat="1" applyFont="1" applyFill="1" applyBorder="1" applyAlignment="1">
      <alignment horizontal="center" vertical="center"/>
    </xf>
    <xf numFmtId="167" fontId="17" fillId="2" borderId="66" xfId="0" applyNumberFormat="1" applyFont="1" applyFill="1" applyBorder="1" applyAlignment="1">
      <alignment horizontal="center" vertical="center"/>
    </xf>
    <xf numFmtId="178" fontId="17" fillId="2" borderId="57" xfId="1" applyNumberFormat="1" applyFont="1" applyFill="1" applyBorder="1" applyAlignment="1">
      <alignment horizontal="center" vertical="center"/>
    </xf>
    <xf numFmtId="169" fontId="17" fillId="2" borderId="16" xfId="0" applyNumberFormat="1" applyFont="1" applyFill="1" applyBorder="1" applyAlignment="1">
      <alignment horizontal="center" vertical="center"/>
    </xf>
    <xf numFmtId="169" fontId="17" fillId="2" borderId="17" xfId="0" applyNumberFormat="1" applyFont="1" applyFill="1" applyBorder="1" applyAlignment="1">
      <alignment horizontal="center" vertical="center"/>
    </xf>
    <xf numFmtId="179" fontId="17" fillId="2" borderId="35" xfId="1" applyNumberFormat="1" applyFont="1" applyFill="1" applyBorder="1" applyAlignment="1">
      <alignment horizontal="center" vertical="center"/>
    </xf>
    <xf numFmtId="167" fontId="17" fillId="2" borderId="21" xfId="0" applyNumberFormat="1" applyFont="1" applyFill="1" applyBorder="1" applyAlignment="1">
      <alignment horizontal="center" vertical="center"/>
    </xf>
    <xf numFmtId="9" fontId="17" fillId="2" borderId="35" xfId="1" applyFont="1" applyFill="1" applyBorder="1" applyAlignment="1">
      <alignment horizontal="center" vertical="center"/>
    </xf>
    <xf numFmtId="169" fontId="17" fillId="2" borderId="1" xfId="0" applyNumberFormat="1" applyFont="1" applyFill="1" applyBorder="1" applyAlignment="1">
      <alignment horizontal="center" vertical="center"/>
    </xf>
    <xf numFmtId="169" fontId="17" fillId="2" borderId="3" xfId="0" applyNumberFormat="1" applyFont="1" applyFill="1" applyBorder="1" applyAlignment="1">
      <alignment horizontal="center" vertical="center"/>
    </xf>
    <xf numFmtId="179" fontId="17" fillId="2" borderId="66" xfId="0" applyNumberFormat="1" applyFont="1" applyFill="1" applyBorder="1" applyAlignment="1">
      <alignment horizontal="center" vertical="center"/>
    </xf>
    <xf numFmtId="9" fontId="17" fillId="2" borderId="57" xfId="0" applyNumberFormat="1" applyFont="1" applyFill="1" applyBorder="1" applyAlignment="1">
      <alignment horizontal="center" vertical="center"/>
    </xf>
    <xf numFmtId="10" fontId="17" fillId="2" borderId="66" xfId="0" applyNumberFormat="1" applyFont="1" applyFill="1" applyBorder="1" applyAlignment="1">
      <alignment horizontal="center" vertical="center"/>
    </xf>
    <xf numFmtId="179" fontId="17" fillId="2" borderId="21" xfId="0" applyNumberFormat="1" applyFont="1" applyFill="1" applyBorder="1" applyAlignment="1">
      <alignment horizontal="center" vertical="center"/>
    </xf>
    <xf numFmtId="9" fontId="17" fillId="2" borderId="35" xfId="0" applyNumberFormat="1" applyFont="1" applyFill="1" applyBorder="1" applyAlignment="1">
      <alignment horizontal="center" vertical="center"/>
    </xf>
    <xf numFmtId="178" fontId="17" fillId="2" borderId="21" xfId="0" applyNumberFormat="1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2" fontId="0" fillId="0" borderId="0" xfId="0" applyNumberFormat="1" applyAlignment="1">
      <alignment vertical="center"/>
    </xf>
    <xf numFmtId="176" fontId="17" fillId="0" borderId="76" xfId="0" applyNumberFormat="1" applyFont="1" applyBorder="1" applyAlignment="1">
      <alignment horizontal="center" vertical="center"/>
    </xf>
    <xf numFmtId="0" fontId="23" fillId="0" borderId="11" xfId="0" applyFont="1" applyBorder="1" applyAlignment="1">
      <alignment vertical="center"/>
    </xf>
    <xf numFmtId="0" fontId="17" fillId="0" borderId="3" xfId="0" applyFont="1" applyBorder="1" applyAlignment="1">
      <alignment horizontal="left" vertical="center"/>
    </xf>
    <xf numFmtId="0" fontId="17" fillId="0" borderId="66" xfId="0" applyFont="1" applyBorder="1" applyAlignment="1">
      <alignment vertical="center"/>
    </xf>
    <xf numFmtId="0" fontId="17" fillId="0" borderId="15" xfId="0" applyFont="1" applyBorder="1" applyAlignment="1">
      <alignment horizontal="center" vertical="center"/>
    </xf>
    <xf numFmtId="0" fontId="17" fillId="0" borderId="17" xfId="0" applyFont="1" applyBorder="1" applyAlignment="1">
      <alignment horizontal="left" vertical="center"/>
    </xf>
    <xf numFmtId="2" fontId="17" fillId="0" borderId="15" xfId="0" applyNumberFormat="1" applyFont="1" applyBorder="1" applyAlignment="1">
      <alignment horizontal="center" vertical="center"/>
    </xf>
    <xf numFmtId="0" fontId="17" fillId="0" borderId="67" xfId="0" applyFont="1" applyBorder="1" applyAlignment="1">
      <alignment vertical="center"/>
    </xf>
    <xf numFmtId="0" fontId="17" fillId="0" borderId="69" xfId="0" applyFont="1" applyBorder="1" applyAlignment="1">
      <alignment horizontal="center" vertical="center"/>
    </xf>
    <xf numFmtId="0" fontId="17" fillId="0" borderId="73" xfId="0" applyFont="1" applyBorder="1" applyAlignment="1">
      <alignment horizontal="left" vertical="center"/>
    </xf>
    <xf numFmtId="0" fontId="23" fillId="4" borderId="70" xfId="0" applyFont="1" applyFill="1" applyBorder="1" applyAlignment="1">
      <alignment vertical="center"/>
    </xf>
    <xf numFmtId="0" fontId="17" fillId="2" borderId="21" xfId="0" applyFont="1" applyFill="1" applyBorder="1" applyAlignment="1">
      <alignment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left" vertical="center"/>
    </xf>
    <xf numFmtId="0" fontId="17" fillId="2" borderId="67" xfId="0" applyFont="1" applyFill="1" applyBorder="1" applyAlignment="1">
      <alignment vertical="center"/>
    </xf>
    <xf numFmtId="0" fontId="17" fillId="2" borderId="69" xfId="0" applyFont="1" applyFill="1" applyBorder="1" applyAlignment="1">
      <alignment horizontal="center" vertical="center"/>
    </xf>
    <xf numFmtId="0" fontId="17" fillId="2" borderId="73" xfId="0" applyFont="1" applyFill="1" applyBorder="1" applyAlignment="1">
      <alignment horizontal="left" vertical="center"/>
    </xf>
    <xf numFmtId="0" fontId="17" fillId="2" borderId="22" xfId="0" applyFont="1" applyFill="1" applyBorder="1" applyAlignment="1">
      <alignment vertical="center"/>
    </xf>
    <xf numFmtId="0" fontId="17" fillId="2" borderId="6" xfId="0" applyFont="1" applyFill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0" fontId="17" fillId="0" borderId="70" xfId="0" applyFont="1" applyBorder="1" applyAlignment="1">
      <alignment vertical="center"/>
    </xf>
    <xf numFmtId="3" fontId="17" fillId="0" borderId="6" xfId="0" applyNumberFormat="1" applyFont="1" applyBorder="1" applyAlignment="1">
      <alignment horizontal="left" vertical="center"/>
    </xf>
    <xf numFmtId="0" fontId="17" fillId="2" borderId="24" xfId="0" applyFont="1" applyFill="1" applyBorder="1" applyAlignment="1">
      <alignment horizontal="left" vertical="center"/>
    </xf>
    <xf numFmtId="0" fontId="23" fillId="4" borderId="29" xfId="0" applyFont="1" applyFill="1" applyBorder="1" applyAlignment="1">
      <alignment vertical="center"/>
    </xf>
    <xf numFmtId="0" fontId="23" fillId="4" borderId="21" xfId="0" applyFont="1" applyFill="1" applyBorder="1" applyAlignment="1">
      <alignment vertical="center"/>
    </xf>
    <xf numFmtId="0" fontId="23" fillId="4" borderId="22" xfId="0" applyFont="1" applyFill="1" applyBorder="1" applyAlignment="1">
      <alignment vertical="center"/>
    </xf>
    <xf numFmtId="167" fontId="17" fillId="0" borderId="34" xfId="0" applyNumberFormat="1" applyFont="1" applyBorder="1" applyAlignment="1">
      <alignment horizontal="right" vertical="center"/>
    </xf>
    <xf numFmtId="3" fontId="17" fillId="0" borderId="34" xfId="0" applyNumberFormat="1" applyFont="1" applyBorder="1" applyAlignment="1">
      <alignment horizontal="right" vertical="center"/>
    </xf>
    <xf numFmtId="0" fontId="17" fillId="0" borderId="34" xfId="0" applyFont="1" applyBorder="1" applyAlignment="1">
      <alignment horizontal="right" vertical="center"/>
    </xf>
    <xf numFmtId="3" fontId="17" fillId="0" borderId="41" xfId="0" applyNumberFormat="1" applyFont="1" applyBorder="1" applyAlignment="1">
      <alignment horizontal="right" vertical="center"/>
    </xf>
    <xf numFmtId="0" fontId="17" fillId="0" borderId="66" xfId="0" applyFont="1" applyBorder="1" applyAlignment="1">
      <alignment horizontal="center" vertical="center"/>
    </xf>
    <xf numFmtId="0" fontId="23" fillId="4" borderId="70" xfId="0" applyFont="1" applyFill="1" applyBorder="1" applyAlignment="1">
      <alignment horizontal="center" vertical="center"/>
    </xf>
    <xf numFmtId="169" fontId="17" fillId="0" borderId="18" xfId="0" applyNumberFormat="1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169" fontId="17" fillId="0" borderId="15" xfId="0" applyNumberFormat="1" applyFont="1" applyBorder="1" applyAlignment="1">
      <alignment horizontal="center" vertical="center"/>
    </xf>
    <xf numFmtId="169" fontId="17" fillId="2" borderId="4" xfId="0" applyNumberFormat="1" applyFont="1" applyFill="1" applyBorder="1" applyAlignment="1">
      <alignment horizontal="center" vertical="center"/>
    </xf>
    <xf numFmtId="0" fontId="17" fillId="2" borderId="51" xfId="0" applyFont="1" applyFill="1" applyBorder="1" applyAlignment="1">
      <alignment horizontal="right" vertical="center"/>
    </xf>
    <xf numFmtId="0" fontId="17" fillId="2" borderId="34" xfId="0" applyFont="1" applyFill="1" applyBorder="1" applyAlignment="1">
      <alignment horizontal="right" vertical="center"/>
    </xf>
    <xf numFmtId="1" fontId="17" fillId="2" borderId="69" xfId="0" applyNumberFormat="1" applyFont="1" applyFill="1" applyBorder="1" applyAlignment="1">
      <alignment horizontal="center" vertical="center"/>
    </xf>
    <xf numFmtId="165" fontId="17" fillId="0" borderId="15" xfId="0" applyNumberFormat="1" applyFont="1" applyBorder="1" applyAlignment="1">
      <alignment horizontal="center" vertical="center"/>
    </xf>
    <xf numFmtId="172" fontId="17" fillId="2" borderId="2" xfId="0" applyNumberFormat="1" applyFont="1" applyFill="1" applyBorder="1" applyAlignment="1">
      <alignment horizontal="center" vertical="center"/>
    </xf>
    <xf numFmtId="165" fontId="17" fillId="0" borderId="69" xfId="0" applyNumberFormat="1" applyFont="1" applyBorder="1" applyAlignment="1">
      <alignment horizontal="center" vertical="center"/>
    </xf>
    <xf numFmtId="176" fontId="17" fillId="2" borderId="34" xfId="0" applyNumberFormat="1" applyFont="1" applyFill="1" applyBorder="1" applyAlignment="1">
      <alignment horizontal="right" vertical="center"/>
    </xf>
    <xf numFmtId="168" fontId="17" fillId="0" borderId="18" xfId="0" applyNumberFormat="1" applyFont="1" applyBorder="1" applyAlignment="1">
      <alignment horizontal="center" vertical="center"/>
    </xf>
    <xf numFmtId="168" fontId="17" fillId="0" borderId="49" xfId="0" applyNumberFormat="1" applyFont="1" applyBorder="1" applyAlignment="1">
      <alignment horizontal="center" vertical="center"/>
    </xf>
    <xf numFmtId="168" fontId="17" fillId="2" borderId="4" xfId="0" applyNumberFormat="1" applyFont="1" applyFill="1" applyBorder="1" applyAlignment="1">
      <alignment horizontal="center" vertical="center"/>
    </xf>
    <xf numFmtId="18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4" fontId="17" fillId="0" borderId="0" xfId="0" applyNumberFormat="1" applyFont="1" applyAlignment="1">
      <alignment horizontal="right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177" fontId="27" fillId="2" borderId="0" xfId="0" applyNumberFormat="1" applyFont="1" applyFill="1" applyAlignment="1">
      <alignment horizontal="right" vertical="center"/>
    </xf>
    <xf numFmtId="0" fontId="17" fillId="0" borderId="47" xfId="0" applyFont="1" applyBorder="1" applyAlignment="1">
      <alignment vertical="center"/>
    </xf>
    <xf numFmtId="172" fontId="17" fillId="2" borderId="21" xfId="0" applyNumberFormat="1" applyFont="1" applyFill="1" applyBorder="1" applyAlignment="1">
      <alignment horizontal="right" vertical="center"/>
    </xf>
    <xf numFmtId="172" fontId="17" fillId="0" borderId="46" xfId="0" applyNumberFormat="1" applyFont="1" applyBorder="1" applyAlignment="1">
      <alignment horizontal="center" vertical="center"/>
    </xf>
    <xf numFmtId="44" fontId="17" fillId="0" borderId="76" xfId="0" applyNumberFormat="1" applyFont="1" applyBorder="1" applyAlignment="1">
      <alignment horizontal="center" vertical="center"/>
    </xf>
    <xf numFmtId="172" fontId="17" fillId="2" borderId="34" xfId="0" applyNumberFormat="1" applyFont="1" applyFill="1" applyBorder="1" applyAlignment="1">
      <alignment horizontal="right" vertical="center"/>
    </xf>
    <xf numFmtId="183" fontId="17" fillId="0" borderId="76" xfId="0" applyNumberFormat="1" applyFont="1" applyBorder="1" applyAlignment="1">
      <alignment horizontal="center" vertical="center"/>
    </xf>
    <xf numFmtId="1" fontId="17" fillId="0" borderId="76" xfId="0" applyNumberFormat="1" applyFont="1" applyBorder="1" applyAlignment="1">
      <alignment horizontal="right" vertical="center"/>
    </xf>
    <xf numFmtId="167" fontId="17" fillId="0" borderId="76" xfId="0" applyNumberFormat="1" applyFont="1" applyBorder="1" applyAlignment="1">
      <alignment horizontal="right" vertical="center"/>
    </xf>
    <xf numFmtId="2" fontId="17" fillId="0" borderId="76" xfId="1" applyNumberFormat="1" applyFont="1" applyBorder="1" applyAlignment="1">
      <alignment horizontal="center" vertical="center"/>
    </xf>
    <xf numFmtId="177" fontId="17" fillId="0" borderId="66" xfId="0" applyNumberFormat="1" applyFont="1" applyBorder="1" applyAlignment="1">
      <alignment horizontal="right" vertical="center"/>
    </xf>
    <xf numFmtId="177" fontId="17" fillId="2" borderId="21" xfId="0" applyNumberFormat="1" applyFont="1" applyFill="1" applyBorder="1" applyAlignment="1">
      <alignment horizontal="right" vertical="center"/>
    </xf>
    <xf numFmtId="181" fontId="17" fillId="2" borderId="21" xfId="0" applyNumberFormat="1" applyFont="1" applyFill="1" applyBorder="1" applyAlignment="1">
      <alignment horizontal="right" vertical="center"/>
    </xf>
    <xf numFmtId="177" fontId="17" fillId="0" borderId="21" xfId="0" applyNumberFormat="1" applyFont="1" applyBorder="1" applyAlignment="1">
      <alignment horizontal="right" vertical="center"/>
    </xf>
    <xf numFmtId="169" fontId="17" fillId="0" borderId="22" xfId="0" applyNumberFormat="1" applyFont="1" applyBorder="1" applyAlignment="1">
      <alignment horizontal="right" vertical="center"/>
    </xf>
    <xf numFmtId="176" fontId="17" fillId="11" borderId="0" xfId="0" applyNumberFormat="1" applyFont="1" applyFill="1" applyAlignment="1">
      <alignment vertical="center"/>
    </xf>
    <xf numFmtId="2" fontId="17" fillId="9" borderId="46" xfId="0" applyNumberFormat="1" applyFont="1" applyFill="1" applyBorder="1" applyAlignment="1">
      <alignment horizontal="center" vertical="center"/>
    </xf>
    <xf numFmtId="181" fontId="17" fillId="0" borderId="76" xfId="0" applyNumberFormat="1" applyFont="1" applyBorder="1" applyAlignment="1">
      <alignment horizontal="center" vertical="center"/>
    </xf>
    <xf numFmtId="3" fontId="17" fillId="0" borderId="0" xfId="0" applyNumberFormat="1" applyFont="1" applyAlignment="1">
      <alignment vertical="center"/>
    </xf>
    <xf numFmtId="9" fontId="17" fillId="0" borderId="0" xfId="0" applyNumberFormat="1" applyFont="1" applyAlignment="1">
      <alignment horizontal="right" vertical="center"/>
    </xf>
    <xf numFmtId="0" fontId="17" fillId="2" borderId="0" xfId="0" applyFont="1" applyFill="1" applyAlignment="1">
      <alignment horizontal="center" vertical="center"/>
    </xf>
    <xf numFmtId="167" fontId="27" fillId="2" borderId="0" xfId="0" applyNumberFormat="1" applyFont="1" applyFill="1" applyAlignment="1">
      <alignment vertical="center"/>
    </xf>
    <xf numFmtId="0" fontId="41" fillId="0" borderId="45" xfId="0" applyFont="1" applyBorder="1"/>
    <xf numFmtId="1" fontId="41" fillId="0" borderId="77" xfId="0" applyNumberFormat="1" applyFont="1" applyBorder="1" applyAlignment="1">
      <alignment horizontal="center"/>
    </xf>
    <xf numFmtId="1" fontId="41" fillId="0" borderId="78" xfId="0" applyNumberFormat="1" applyFont="1" applyBorder="1" applyAlignment="1">
      <alignment horizontal="center"/>
    </xf>
    <xf numFmtId="176" fontId="17" fillId="0" borderId="79" xfId="0" applyNumberFormat="1" applyFont="1" applyBorder="1" applyAlignment="1">
      <alignment horizontal="center" vertical="center"/>
    </xf>
    <xf numFmtId="167" fontId="17" fillId="0" borderId="79" xfId="0" applyNumberFormat="1" applyFont="1" applyBorder="1" applyAlignment="1">
      <alignment horizontal="right" vertical="center"/>
    </xf>
    <xf numFmtId="183" fontId="17" fillId="0" borderId="79" xfId="0" applyNumberFormat="1" applyFont="1" applyBorder="1" applyAlignment="1">
      <alignment horizontal="center" vertical="center"/>
    </xf>
    <xf numFmtId="0" fontId="23" fillId="0" borderId="11" xfId="0" applyFont="1" applyBorder="1" applyAlignment="1">
      <alignment horizontal="left" vertical="center"/>
    </xf>
    <xf numFmtId="0" fontId="23" fillId="0" borderId="13" xfId="0" applyFont="1" applyBorder="1" applyAlignment="1">
      <alignment vertical="center"/>
    </xf>
    <xf numFmtId="176" fontId="17" fillId="0" borderId="75" xfId="0" applyNumberFormat="1" applyFont="1" applyBorder="1" applyAlignment="1">
      <alignment horizontal="center" vertical="center"/>
    </xf>
    <xf numFmtId="183" fontId="17" fillId="0" borderId="75" xfId="0" applyNumberFormat="1" applyFont="1" applyBorder="1" applyAlignment="1">
      <alignment horizontal="center" vertical="center"/>
    </xf>
    <xf numFmtId="183" fontId="17" fillId="0" borderId="80" xfId="0" applyNumberFormat="1" applyFont="1" applyBorder="1" applyAlignment="1">
      <alignment horizontal="center" vertical="center"/>
    </xf>
    <xf numFmtId="179" fontId="17" fillId="0" borderId="76" xfId="1" applyNumberFormat="1" applyFont="1" applyBorder="1" applyAlignment="1">
      <alignment horizontal="left" vertical="center"/>
    </xf>
    <xf numFmtId="10" fontId="17" fillId="0" borderId="76" xfId="1" applyNumberFormat="1" applyFont="1" applyBorder="1" applyAlignment="1">
      <alignment horizontal="left" vertical="center"/>
    </xf>
    <xf numFmtId="167" fontId="17" fillId="0" borderId="76" xfId="0" applyNumberFormat="1" applyFont="1" applyBorder="1" applyAlignment="1">
      <alignment horizontal="left" vertical="center"/>
    </xf>
    <xf numFmtId="9" fontId="17" fillId="2" borderId="66" xfId="1" applyFont="1" applyFill="1" applyBorder="1" applyAlignment="1">
      <alignment horizontal="center" vertical="center"/>
    </xf>
    <xf numFmtId="9" fontId="17" fillId="0" borderId="21" xfId="1" applyFont="1" applyBorder="1" applyAlignment="1">
      <alignment horizontal="center" vertical="center"/>
    </xf>
    <xf numFmtId="9" fontId="17" fillId="2" borderId="59" xfId="1" applyFont="1" applyFill="1" applyBorder="1" applyAlignment="1">
      <alignment horizontal="center" vertical="center"/>
    </xf>
    <xf numFmtId="9" fontId="17" fillId="0" borderId="38" xfId="1" applyFont="1" applyBorder="1" applyAlignment="1">
      <alignment horizontal="center" vertical="center"/>
    </xf>
    <xf numFmtId="9" fontId="17" fillId="2" borderId="38" xfId="1" applyFont="1" applyFill="1" applyBorder="1" applyAlignment="1">
      <alignment horizontal="center" vertical="center"/>
    </xf>
    <xf numFmtId="9" fontId="17" fillId="0" borderId="39" xfId="1" applyFont="1" applyBorder="1" applyAlignment="1">
      <alignment horizontal="center" vertical="center"/>
    </xf>
    <xf numFmtId="9" fontId="17" fillId="2" borderId="21" xfId="1" applyFont="1" applyFill="1" applyBorder="1" applyAlignment="1">
      <alignment horizontal="center" vertical="center"/>
    </xf>
    <xf numFmtId="9" fontId="17" fillId="0" borderId="22" xfId="1" applyFont="1" applyBorder="1" applyAlignment="1">
      <alignment horizontal="center" vertical="center"/>
    </xf>
    <xf numFmtId="167" fontId="17" fillId="11" borderId="0" xfId="0" applyNumberFormat="1" applyFont="1" applyFill="1"/>
    <xf numFmtId="12" fontId="17" fillId="0" borderId="0" xfId="0" applyNumberFormat="1" applyFont="1"/>
    <xf numFmtId="0" fontId="18" fillId="5" borderId="45" xfId="0" applyFont="1" applyFill="1" applyBorder="1" applyAlignment="1">
      <alignment horizontal="center" vertical="center"/>
    </xf>
    <xf numFmtId="0" fontId="18" fillId="5" borderId="46" xfId="0" applyFont="1" applyFill="1" applyBorder="1" applyAlignment="1">
      <alignment horizontal="center" vertical="center"/>
    </xf>
    <xf numFmtId="0" fontId="18" fillId="5" borderId="47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20" fillId="3" borderId="38" xfId="0" applyFont="1" applyFill="1" applyBorder="1" applyAlignment="1">
      <alignment horizontal="left" vertical="center"/>
    </xf>
    <xf numFmtId="0" fontId="20" fillId="3" borderId="35" xfId="0" applyFont="1" applyFill="1" applyBorder="1" applyAlignment="1">
      <alignment horizontal="left" vertical="center"/>
    </xf>
    <xf numFmtId="0" fontId="20" fillId="3" borderId="27" xfId="0" applyFont="1" applyFill="1" applyBorder="1" applyAlignment="1">
      <alignment horizontal="left" vertical="center"/>
    </xf>
    <xf numFmtId="0" fontId="20" fillId="3" borderId="59" xfId="0" applyFont="1" applyFill="1" applyBorder="1" applyAlignment="1">
      <alignment horizontal="left" vertical="center"/>
    </xf>
    <xf numFmtId="0" fontId="20" fillId="3" borderId="57" xfId="0" applyFont="1" applyFill="1" applyBorder="1" applyAlignment="1">
      <alignment horizontal="left" vertical="center"/>
    </xf>
    <xf numFmtId="0" fontId="20" fillId="3" borderId="44" xfId="0" applyFont="1" applyFill="1" applyBorder="1" applyAlignment="1">
      <alignment horizontal="left" vertical="center"/>
    </xf>
    <xf numFmtId="0" fontId="35" fillId="0" borderId="45" xfId="0" applyFont="1" applyBorder="1" applyAlignment="1">
      <alignment horizontal="center" vertical="center"/>
    </xf>
    <xf numFmtId="0" fontId="35" fillId="0" borderId="46" xfId="0" applyFont="1" applyBorder="1" applyAlignment="1">
      <alignment horizontal="center" vertical="center"/>
    </xf>
    <xf numFmtId="0" fontId="35" fillId="0" borderId="47" xfId="0" applyFont="1" applyBorder="1" applyAlignment="1">
      <alignment horizontal="center" vertical="center"/>
    </xf>
    <xf numFmtId="169" fontId="27" fillId="2" borderId="0" xfId="0" applyNumberFormat="1" applyFont="1" applyFill="1" applyAlignment="1">
      <alignment horizontal="center"/>
    </xf>
    <xf numFmtId="169" fontId="27" fillId="4" borderId="0" xfId="0" applyNumberFormat="1" applyFont="1" applyFill="1" applyAlignment="1">
      <alignment horizontal="center"/>
    </xf>
    <xf numFmtId="2" fontId="27" fillId="4" borderId="0" xfId="0" applyNumberFormat="1" applyFont="1" applyFill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7" fillId="4" borderId="0" xfId="0" applyFont="1" applyFill="1" applyAlignment="1">
      <alignment horizontal="right"/>
    </xf>
    <xf numFmtId="0" fontId="35" fillId="0" borderId="8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27" fillId="2" borderId="0" xfId="0" applyFont="1" applyFill="1" applyAlignment="1">
      <alignment horizontal="right"/>
    </xf>
    <xf numFmtId="0" fontId="34" fillId="3" borderId="45" xfId="0" applyFont="1" applyFill="1" applyBorder="1" applyAlignment="1">
      <alignment horizontal="center" vertical="center"/>
    </xf>
    <xf numFmtId="0" fontId="34" fillId="3" borderId="46" xfId="0" applyFont="1" applyFill="1" applyBorder="1" applyAlignment="1">
      <alignment horizontal="center" vertical="center"/>
    </xf>
    <xf numFmtId="0" fontId="34" fillId="3" borderId="47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9" xfId="0" applyFont="1" applyFill="1" applyBorder="1" applyAlignment="1">
      <alignment horizontal="center" vertical="center"/>
    </xf>
    <xf numFmtId="0" fontId="35" fillId="4" borderId="50" xfId="0" applyFont="1" applyFill="1" applyBorder="1" applyAlignment="1">
      <alignment horizontal="center" vertical="center"/>
    </xf>
    <xf numFmtId="0" fontId="35" fillId="4" borderId="10" xfId="0" applyFont="1" applyFill="1" applyBorder="1" applyAlignment="1">
      <alignment horizontal="center" vertical="center"/>
    </xf>
    <xf numFmtId="0" fontId="0" fillId="11" borderId="0" xfId="0" applyFill="1" applyAlignment="1">
      <alignment horizontal="left" vertical="center"/>
    </xf>
    <xf numFmtId="0" fontId="35" fillId="0" borderId="23" xfId="0" applyFont="1" applyBorder="1" applyAlignment="1">
      <alignment horizontal="left" vertical="center"/>
    </xf>
    <xf numFmtId="0" fontId="35" fillId="0" borderId="25" xfId="0" applyFont="1" applyBorder="1" applyAlignment="1">
      <alignment horizontal="left" vertical="center"/>
    </xf>
    <xf numFmtId="0" fontId="35" fillId="0" borderId="24" xfId="0" applyFont="1" applyBorder="1" applyAlignment="1">
      <alignment horizontal="left" vertical="center"/>
    </xf>
    <xf numFmtId="0" fontId="35" fillId="2" borderId="2" xfId="0" applyFont="1" applyFill="1" applyBorder="1" applyAlignment="1">
      <alignment horizontal="left" vertical="center"/>
    </xf>
    <xf numFmtId="0" fontId="35" fillId="2" borderId="1" xfId="0" applyFont="1" applyFill="1" applyBorder="1" applyAlignment="1">
      <alignment horizontal="left" vertical="center"/>
    </xf>
    <xf numFmtId="0" fontId="35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5" fillId="0" borderId="48" xfId="0" applyFont="1" applyBorder="1" applyAlignment="1">
      <alignment horizontal="left" vertical="center"/>
    </xf>
    <xf numFmtId="0" fontId="35" fillId="2" borderId="33" xfId="0" applyFont="1" applyFill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" xfId="0" applyFont="1" applyBorder="1" applyAlignment="1">
      <alignment horizontal="left" vertical="center"/>
    </xf>
    <xf numFmtId="0" fontId="35" fillId="0" borderId="33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35" fillId="0" borderId="5" xfId="0" applyFont="1" applyBorder="1" applyAlignment="1">
      <alignment horizontal="left" vertical="center"/>
    </xf>
    <xf numFmtId="0" fontId="35" fillId="0" borderId="42" xfId="0" applyFont="1" applyBorder="1" applyAlignment="1">
      <alignment horizontal="left" vertical="center"/>
    </xf>
    <xf numFmtId="0" fontId="35" fillId="0" borderId="3" xfId="0" applyFont="1" applyBorder="1" applyAlignment="1">
      <alignment horizontal="left" vertical="center"/>
    </xf>
    <xf numFmtId="0" fontId="35" fillId="2" borderId="4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7" fillId="2" borderId="39" xfId="0" applyFont="1" applyFill="1" applyBorder="1" applyAlignment="1">
      <alignment horizontal="left" vertical="center"/>
    </xf>
    <xf numFmtId="0" fontId="17" fillId="2" borderId="40" xfId="0" applyFont="1" applyFill="1" applyBorder="1" applyAlignment="1">
      <alignment horizontal="left" vertical="center"/>
    </xf>
    <xf numFmtId="0" fontId="17" fillId="2" borderId="41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11" borderId="0" xfId="0" applyFont="1" applyFill="1" applyAlignment="1">
      <alignment horizontal="left" vertical="center"/>
    </xf>
    <xf numFmtId="0" fontId="17" fillId="2" borderId="38" xfId="0" applyFont="1" applyFill="1" applyBorder="1" applyAlignment="1">
      <alignment horizontal="left" vertical="center"/>
    </xf>
    <xf numFmtId="0" fontId="17" fillId="2" borderId="35" xfId="0" applyFont="1" applyFill="1" applyBorder="1" applyAlignment="1">
      <alignment horizontal="left"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23" fillId="0" borderId="13" xfId="0" applyFont="1" applyBorder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23" fillId="0" borderId="14" xfId="0" applyFon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23" fillId="11" borderId="45" xfId="0" applyFont="1" applyFill="1" applyBorder="1" applyAlignment="1">
      <alignment horizontal="center" vertical="center"/>
    </xf>
    <xf numFmtId="0" fontId="23" fillId="11" borderId="46" xfId="0" applyFont="1" applyFill="1" applyBorder="1" applyAlignment="1">
      <alignment horizontal="center" vertical="center"/>
    </xf>
    <xf numFmtId="0" fontId="23" fillId="11" borderId="4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59" xfId="0" applyFont="1" applyBorder="1" applyAlignment="1">
      <alignment horizontal="left" vertical="center"/>
    </xf>
    <xf numFmtId="0" fontId="17" fillId="0" borderId="57" xfId="0" applyFont="1" applyBorder="1" applyAlignment="1">
      <alignment horizontal="left" vertical="center"/>
    </xf>
    <xf numFmtId="0" fontId="17" fillId="0" borderId="44" xfId="0" applyFont="1" applyBorder="1" applyAlignment="1">
      <alignment horizontal="left" vertical="center"/>
    </xf>
    <xf numFmtId="0" fontId="23" fillId="0" borderId="52" xfId="0" applyFont="1" applyBorder="1" applyAlignment="1">
      <alignment horizontal="left" vertical="center"/>
    </xf>
    <xf numFmtId="0" fontId="23" fillId="0" borderId="53" xfId="0" applyFont="1" applyBorder="1" applyAlignment="1">
      <alignment horizontal="left" vertical="center"/>
    </xf>
    <xf numFmtId="0" fontId="23" fillId="0" borderId="56" xfId="0" applyFont="1" applyBorder="1" applyAlignment="1">
      <alignment horizontal="left" vertical="center"/>
    </xf>
    <xf numFmtId="0" fontId="18" fillId="13" borderId="42" xfId="0" applyFont="1" applyFill="1" applyBorder="1" applyAlignment="1">
      <alignment horizontal="center" vertical="center"/>
    </xf>
    <xf numFmtId="0" fontId="18" fillId="13" borderId="28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3" fillId="11" borderId="45" xfId="0" applyFont="1" applyFill="1" applyBorder="1" applyAlignment="1">
      <alignment horizontal="center"/>
    </xf>
    <xf numFmtId="0" fontId="23" fillId="11" borderId="46" xfId="0" applyFont="1" applyFill="1" applyBorder="1" applyAlignment="1">
      <alignment horizontal="center"/>
    </xf>
    <xf numFmtId="0" fontId="23" fillId="11" borderId="47" xfId="0" applyFont="1" applyFill="1" applyBorder="1" applyAlignment="1">
      <alignment horizontal="center"/>
    </xf>
    <xf numFmtId="0" fontId="17" fillId="12" borderId="0" xfId="0" applyFont="1" applyFill="1" applyAlignment="1">
      <alignment horizontal="left"/>
    </xf>
    <xf numFmtId="0" fontId="17" fillId="2" borderId="36" xfId="0" applyFont="1" applyFill="1" applyBorder="1" applyAlignment="1">
      <alignment horizontal="left" vertical="center"/>
    </xf>
    <xf numFmtId="0" fontId="17" fillId="2" borderId="37" xfId="0" applyFont="1" applyFill="1" applyBorder="1" applyAlignment="1">
      <alignment horizontal="left" vertical="center"/>
    </xf>
    <xf numFmtId="0" fontId="17" fillId="2" borderId="51" xfId="0" applyFont="1" applyFill="1" applyBorder="1" applyAlignment="1">
      <alignment horizontal="left" vertical="center"/>
    </xf>
    <xf numFmtId="1" fontId="17" fillId="0" borderId="48" xfId="0" applyNumberFormat="1" applyFont="1" applyBorder="1" applyAlignment="1">
      <alignment horizontal="center" vertical="center"/>
    </xf>
    <xf numFmtId="1" fontId="17" fillId="0" borderId="26" xfId="0" applyNumberFormat="1" applyFont="1" applyBorder="1" applyAlignment="1">
      <alignment horizontal="center" vertical="center"/>
    </xf>
    <xf numFmtId="0" fontId="18" fillId="6" borderId="42" xfId="0" applyFont="1" applyFill="1" applyBorder="1" applyAlignment="1">
      <alignment horizontal="center" vertical="center"/>
    </xf>
    <xf numFmtId="0" fontId="18" fillId="6" borderId="28" xfId="0" applyFont="1" applyFill="1" applyBorder="1" applyAlignment="1">
      <alignment horizontal="center" vertical="center"/>
    </xf>
    <xf numFmtId="0" fontId="18" fillId="8" borderId="42" xfId="0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0" fontId="18" fillId="7" borderId="42" xfId="0" applyFont="1" applyFill="1" applyBorder="1" applyAlignment="1">
      <alignment horizontal="center" vertical="center"/>
    </xf>
    <xf numFmtId="0" fontId="18" fillId="7" borderId="28" xfId="0" applyFont="1" applyFill="1" applyBorder="1" applyAlignment="1">
      <alignment horizontal="center" vertical="center"/>
    </xf>
    <xf numFmtId="2" fontId="17" fillId="0" borderId="11" xfId="0" applyNumberFormat="1" applyFont="1" applyBorder="1" applyAlignment="1">
      <alignment horizontal="center"/>
    </xf>
    <xf numFmtId="2" fontId="17" fillId="0" borderId="0" xfId="0" applyNumberFormat="1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164" fontId="17" fillId="0" borderId="2" xfId="0" applyNumberFormat="1" applyFont="1" applyBorder="1" applyAlignment="1">
      <alignment horizontal="center"/>
    </xf>
    <xf numFmtId="164" fontId="17" fillId="0" borderId="3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12" fontId="17" fillId="0" borderId="2" xfId="0" applyNumberFormat="1" applyFont="1" applyBorder="1" applyAlignment="1">
      <alignment horizontal="center"/>
    </xf>
    <xf numFmtId="12" fontId="17" fillId="0" borderId="3" xfId="0" applyNumberFormat="1" applyFont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4" borderId="3" xfId="0" applyFont="1" applyFill="1" applyBorder="1" applyAlignment="1">
      <alignment horizontal="left"/>
    </xf>
    <xf numFmtId="0" fontId="23" fillId="4" borderId="4" xfId="0" applyFont="1" applyFill="1" applyBorder="1" applyAlignment="1">
      <alignment horizontal="left"/>
    </xf>
    <xf numFmtId="0" fontId="23" fillId="4" borderId="5" xfId="0" applyFont="1" applyFill="1" applyBorder="1" applyAlignment="1">
      <alignment horizontal="left"/>
    </xf>
    <xf numFmtId="0" fontId="23" fillId="4" borderId="6" xfId="0" applyFont="1" applyFill="1" applyBorder="1" applyAlignment="1">
      <alignment horizontal="left"/>
    </xf>
    <xf numFmtId="0" fontId="18" fillId="3" borderId="45" xfId="0" applyFont="1" applyFill="1" applyBorder="1" applyAlignment="1">
      <alignment horizontal="center"/>
    </xf>
    <xf numFmtId="0" fontId="18" fillId="3" borderId="46" xfId="0" applyFont="1" applyFill="1" applyBorder="1" applyAlignment="1">
      <alignment horizontal="center"/>
    </xf>
    <xf numFmtId="0" fontId="18" fillId="3" borderId="47" xfId="0" applyFont="1" applyFill="1" applyBorder="1" applyAlignment="1">
      <alignment horizontal="center"/>
    </xf>
    <xf numFmtId="0" fontId="23" fillId="4" borderId="23" xfId="0" applyFont="1" applyFill="1" applyBorder="1" applyAlignment="1">
      <alignment horizontal="left"/>
    </xf>
    <xf numFmtId="0" fontId="23" fillId="4" borderId="25" xfId="0" applyFont="1" applyFill="1" applyBorder="1" applyAlignment="1">
      <alignment horizontal="left"/>
    </xf>
    <xf numFmtId="0" fontId="23" fillId="4" borderId="24" xfId="0" applyFont="1" applyFill="1" applyBorder="1" applyAlignment="1">
      <alignment horizontal="left"/>
    </xf>
    <xf numFmtId="0" fontId="23" fillId="4" borderId="15" xfId="0" applyFont="1" applyFill="1" applyBorder="1" applyAlignment="1">
      <alignment horizontal="left"/>
    </xf>
    <xf numFmtId="0" fontId="23" fillId="4" borderId="16" xfId="0" applyFont="1" applyFill="1" applyBorder="1" applyAlignment="1">
      <alignment horizontal="left"/>
    </xf>
    <xf numFmtId="0" fontId="23" fillId="4" borderId="17" xfId="0" applyFont="1" applyFill="1" applyBorder="1" applyAlignment="1">
      <alignment horizontal="left"/>
    </xf>
    <xf numFmtId="1" fontId="17" fillId="0" borderId="15" xfId="0" applyNumberFormat="1" applyFont="1" applyBorder="1" applyAlignment="1">
      <alignment horizontal="center"/>
    </xf>
    <xf numFmtId="1" fontId="17" fillId="0" borderId="17" xfId="0" applyNumberFormat="1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51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17" fillId="0" borderId="2" xfId="0" applyFont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17" fillId="0" borderId="33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17" fillId="0" borderId="42" xfId="0" applyFont="1" applyBorder="1" applyAlignment="1">
      <alignment horizontal="left"/>
    </xf>
    <xf numFmtId="0" fontId="17" fillId="0" borderId="15" xfId="0" applyFont="1" applyBorder="1" applyAlignment="1">
      <alignment horizontal="left"/>
    </xf>
    <xf numFmtId="0" fontId="17" fillId="0" borderId="16" xfId="0" applyFont="1" applyBorder="1" applyAlignment="1">
      <alignment horizontal="left"/>
    </xf>
    <xf numFmtId="0" fontId="17" fillId="0" borderId="43" xfId="0" applyFont="1" applyBorder="1" applyAlignment="1">
      <alignment horizontal="left"/>
    </xf>
    <xf numFmtId="0" fontId="23" fillId="4" borderId="4" xfId="0" applyFont="1" applyFill="1" applyBorder="1"/>
    <xf numFmtId="0" fontId="23" fillId="4" borderId="5" xfId="0" applyFont="1" applyFill="1" applyBorder="1"/>
    <xf numFmtId="0" fontId="23" fillId="4" borderId="42" xfId="0" applyFont="1" applyFill="1" applyBorder="1"/>
    <xf numFmtId="0" fontId="23" fillId="4" borderId="2" xfId="0" applyFont="1" applyFill="1" applyBorder="1"/>
    <xf numFmtId="0" fontId="23" fillId="4" borderId="1" xfId="0" applyFont="1" applyFill="1" applyBorder="1"/>
    <xf numFmtId="0" fontId="23" fillId="4" borderId="33" xfId="0" applyFont="1" applyFill="1" applyBorder="1"/>
    <xf numFmtId="0" fontId="23" fillId="4" borderId="18" xfId="0" applyFont="1" applyFill="1" applyBorder="1"/>
    <xf numFmtId="0" fontId="23" fillId="4" borderId="19" xfId="0" applyFont="1" applyFill="1" applyBorder="1"/>
    <xf numFmtId="0" fontId="23" fillId="4" borderId="71" xfId="0" applyFont="1" applyFill="1" applyBorder="1"/>
    <xf numFmtId="0" fontId="23" fillId="4" borderId="72" xfId="0" applyFont="1" applyFill="1" applyBorder="1"/>
    <xf numFmtId="0" fontId="23" fillId="4" borderId="23" xfId="0" applyFont="1" applyFill="1" applyBorder="1"/>
    <xf numFmtId="0" fontId="23" fillId="4" borderId="25" xfId="0" applyFont="1" applyFill="1" applyBorder="1"/>
    <xf numFmtId="0" fontId="23" fillId="4" borderId="48" xfId="0" applyFont="1" applyFill="1" applyBorder="1"/>
    <xf numFmtId="0" fontId="23" fillId="4" borderId="6" xfId="0" applyFont="1" applyFill="1" applyBorder="1"/>
    <xf numFmtId="0" fontId="23" fillId="4" borderId="3" xfId="0" applyFont="1" applyFill="1" applyBorder="1"/>
    <xf numFmtId="0" fontId="23" fillId="4" borderId="24" xfId="0" applyFont="1" applyFill="1" applyBorder="1"/>
    <xf numFmtId="0" fontId="23" fillId="4" borderId="20" xfId="0" applyFont="1" applyFill="1" applyBorder="1"/>
    <xf numFmtId="0" fontId="17" fillId="4" borderId="13" xfId="0" applyFont="1" applyFill="1" applyBorder="1" applyAlignment="1">
      <alignment horizontal="left"/>
    </xf>
    <xf numFmtId="0" fontId="17" fillId="4" borderId="7" xfId="0" applyFont="1" applyFill="1" applyBorder="1" applyAlignment="1">
      <alignment horizontal="left"/>
    </xf>
    <xf numFmtId="0" fontId="23" fillId="5" borderId="45" xfId="0" applyFont="1" applyFill="1" applyBorder="1" applyAlignment="1">
      <alignment horizontal="center"/>
    </xf>
    <xf numFmtId="0" fontId="23" fillId="5" borderId="46" xfId="0" applyFont="1" applyFill="1" applyBorder="1" applyAlignment="1">
      <alignment horizontal="center"/>
    </xf>
    <xf numFmtId="0" fontId="23" fillId="5" borderId="47" xfId="0" applyFont="1" applyFill="1" applyBorder="1" applyAlignment="1">
      <alignment horizontal="center"/>
    </xf>
    <xf numFmtId="0" fontId="23" fillId="0" borderId="45" xfId="0" applyFont="1" applyBorder="1" applyAlignment="1">
      <alignment horizontal="center"/>
    </xf>
    <xf numFmtId="0" fontId="23" fillId="0" borderId="46" xfId="0" applyFont="1" applyBorder="1" applyAlignment="1">
      <alignment horizontal="center"/>
    </xf>
    <xf numFmtId="0" fontId="23" fillId="0" borderId="47" xfId="0" applyFont="1" applyBorder="1" applyAlignment="1">
      <alignment horizontal="center"/>
    </xf>
    <xf numFmtId="0" fontId="23" fillId="0" borderId="2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33" xfId="0" applyFont="1" applyBorder="1" applyAlignment="1">
      <alignment horizontal="left"/>
    </xf>
    <xf numFmtId="0" fontId="23" fillId="2" borderId="2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2" borderId="33" xfId="0" applyFont="1" applyFill="1" applyBorder="1" applyAlignment="1">
      <alignment horizontal="left"/>
    </xf>
    <xf numFmtId="0" fontId="23" fillId="0" borderId="4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23" fillId="0" borderId="42" xfId="0" applyFont="1" applyBorder="1" applyAlignment="1">
      <alignment horizontal="left"/>
    </xf>
    <xf numFmtId="0" fontId="17" fillId="4" borderId="11" xfId="0" applyFont="1" applyFill="1" applyBorder="1" applyAlignment="1">
      <alignment horizontal="left"/>
    </xf>
    <xf numFmtId="0" fontId="17" fillId="4" borderId="0" xfId="0" applyFont="1" applyFill="1" applyAlignment="1">
      <alignment horizontal="left"/>
    </xf>
    <xf numFmtId="0" fontId="23" fillId="0" borderId="23" xfId="0" applyFont="1" applyBorder="1" applyAlignment="1">
      <alignment horizontal="left"/>
    </xf>
    <xf numFmtId="0" fontId="23" fillId="0" borderId="25" xfId="0" applyFont="1" applyBorder="1" applyAlignment="1">
      <alignment horizontal="left"/>
    </xf>
    <xf numFmtId="0" fontId="23" fillId="0" borderId="48" xfId="0" applyFont="1" applyBorder="1" applyAlignment="1">
      <alignment horizontal="left"/>
    </xf>
    <xf numFmtId="0" fontId="17" fillId="12" borderId="0" xfId="0" applyFont="1" applyFill="1" applyAlignment="1">
      <alignment horizontal="center"/>
    </xf>
    <xf numFmtId="0" fontId="23" fillId="0" borderId="13" xfId="0" applyFont="1" applyBorder="1" applyAlignment="1">
      <alignment horizontal="left"/>
    </xf>
    <xf numFmtId="0" fontId="23" fillId="0" borderId="7" xfId="0" applyFont="1" applyBorder="1" applyAlignment="1">
      <alignment horizontal="left"/>
    </xf>
    <xf numFmtId="0" fontId="17" fillId="0" borderId="8" xfId="0" applyFont="1" applyBorder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0" fontId="17" fillId="0" borderId="0" xfId="0" applyFont="1" applyAlignment="1">
      <alignment horizontal="left"/>
    </xf>
    <xf numFmtId="0" fontId="17" fillId="0" borderId="59" xfId="0" applyFont="1" applyBorder="1" applyAlignment="1">
      <alignment horizontal="left"/>
    </xf>
    <xf numFmtId="0" fontId="17" fillId="0" borderId="57" xfId="0" applyFont="1" applyBorder="1" applyAlignment="1">
      <alignment horizontal="left"/>
    </xf>
    <xf numFmtId="0" fontId="23" fillId="0" borderId="52" xfId="0" applyFont="1" applyBorder="1" applyAlignment="1">
      <alignment horizontal="left"/>
    </xf>
    <xf numFmtId="0" fontId="23" fillId="0" borderId="53" xfId="0" applyFont="1" applyBorder="1" applyAlignment="1">
      <alignment horizontal="left"/>
    </xf>
    <xf numFmtId="0" fontId="18" fillId="5" borderId="45" xfId="0" applyFont="1" applyFill="1" applyBorder="1" applyAlignment="1">
      <alignment horizontal="center"/>
    </xf>
    <xf numFmtId="0" fontId="18" fillId="5" borderId="46" xfId="0" applyFont="1" applyFill="1" applyBorder="1" applyAlignment="1">
      <alignment horizontal="center"/>
    </xf>
    <xf numFmtId="0" fontId="18" fillId="5" borderId="47" xfId="0" applyFont="1" applyFill="1" applyBorder="1" applyAlignment="1">
      <alignment horizontal="center"/>
    </xf>
    <xf numFmtId="0" fontId="18" fillId="7" borderId="42" xfId="0" applyFont="1" applyFill="1" applyBorder="1" applyAlignment="1">
      <alignment horizontal="center"/>
    </xf>
    <xf numFmtId="0" fontId="18" fillId="7" borderId="28" xfId="0" applyFont="1" applyFill="1" applyBorder="1" applyAlignment="1">
      <alignment horizontal="center"/>
    </xf>
    <xf numFmtId="0" fontId="18" fillId="3" borderId="42" xfId="0" applyFont="1" applyFill="1" applyBorder="1" applyAlignment="1">
      <alignment horizontal="center"/>
    </xf>
    <xf numFmtId="0" fontId="18" fillId="3" borderId="28" xfId="0" applyFont="1" applyFill="1" applyBorder="1" applyAlignment="1">
      <alignment horizontal="center"/>
    </xf>
    <xf numFmtId="0" fontId="20" fillId="3" borderId="45" xfId="0" applyFont="1" applyFill="1" applyBorder="1" applyAlignment="1">
      <alignment horizontal="left"/>
    </xf>
    <xf numFmtId="0" fontId="20" fillId="3" borderId="46" xfId="0" applyFont="1" applyFill="1" applyBorder="1" applyAlignment="1">
      <alignment horizontal="left"/>
    </xf>
    <xf numFmtId="0" fontId="20" fillId="3" borderId="47" xfId="0" applyFont="1" applyFill="1" applyBorder="1" applyAlignment="1">
      <alignment horizontal="left"/>
    </xf>
    <xf numFmtId="0" fontId="20" fillId="5" borderId="46" xfId="0" applyFont="1" applyFill="1" applyBorder="1" applyAlignment="1">
      <alignment horizontal="center"/>
    </xf>
    <xf numFmtId="0" fontId="20" fillId="5" borderId="47" xfId="0" applyFont="1" applyFill="1" applyBorder="1" applyAlignment="1">
      <alignment horizontal="center"/>
    </xf>
    <xf numFmtId="0" fontId="17" fillId="2" borderId="59" xfId="0" applyFont="1" applyFill="1" applyBorder="1" applyAlignment="1">
      <alignment horizontal="left"/>
    </xf>
    <xf numFmtId="0" fontId="17" fillId="2" borderId="57" xfId="0" applyFont="1" applyFill="1" applyBorder="1" applyAlignment="1">
      <alignment horizontal="left"/>
    </xf>
    <xf numFmtId="0" fontId="17" fillId="2" borderId="58" xfId="0" applyFont="1" applyFill="1" applyBorder="1" applyAlignment="1">
      <alignment horizontal="left"/>
    </xf>
    <xf numFmtId="0" fontId="17" fillId="2" borderId="39" xfId="0" applyFont="1" applyFill="1" applyBorder="1" applyAlignment="1">
      <alignment horizontal="left"/>
    </xf>
    <xf numFmtId="0" fontId="17" fillId="2" borderId="40" xfId="0" applyFont="1" applyFill="1" applyBorder="1" applyAlignment="1">
      <alignment horizontal="left"/>
    </xf>
    <xf numFmtId="0" fontId="17" fillId="2" borderId="41" xfId="0" applyFont="1" applyFill="1" applyBorder="1" applyAlignment="1">
      <alignment horizontal="left"/>
    </xf>
    <xf numFmtId="0" fontId="17" fillId="2" borderId="38" xfId="0" applyFont="1" applyFill="1" applyBorder="1" applyAlignment="1">
      <alignment horizontal="left"/>
    </xf>
    <xf numFmtId="0" fontId="17" fillId="2" borderId="35" xfId="0" applyFont="1" applyFill="1" applyBorder="1" applyAlignment="1">
      <alignment horizontal="left"/>
    </xf>
    <xf numFmtId="0" fontId="17" fillId="2" borderId="34" xfId="0" applyFont="1" applyFill="1" applyBorder="1" applyAlignment="1">
      <alignment horizontal="left"/>
    </xf>
    <xf numFmtId="0" fontId="17" fillId="2" borderId="36" xfId="0" applyFont="1" applyFill="1" applyBorder="1" applyAlignment="1">
      <alignment horizontal="left"/>
    </xf>
    <xf numFmtId="0" fontId="17" fillId="2" borderId="51" xfId="0" applyFont="1" applyFill="1" applyBorder="1" applyAlignment="1">
      <alignment horizontal="left"/>
    </xf>
    <xf numFmtId="0" fontId="18" fillId="6" borderId="42" xfId="0" applyFont="1" applyFill="1" applyBorder="1" applyAlignment="1">
      <alignment horizontal="center"/>
    </xf>
    <xf numFmtId="0" fontId="18" fillId="6" borderId="28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left"/>
    </xf>
    <xf numFmtId="0" fontId="17" fillId="2" borderId="52" xfId="0" applyFont="1" applyFill="1" applyBorder="1" applyAlignment="1">
      <alignment horizontal="left"/>
    </xf>
    <xf numFmtId="0" fontId="17" fillId="2" borderId="53" xfId="0" applyFont="1" applyFill="1" applyBorder="1" applyAlignment="1">
      <alignment horizontal="left"/>
    </xf>
    <xf numFmtId="0" fontId="17" fillId="2" borderId="54" xfId="0" applyFont="1" applyFill="1" applyBorder="1" applyAlignment="1">
      <alignment horizontal="left"/>
    </xf>
    <xf numFmtId="0" fontId="18" fillId="8" borderId="42" xfId="0" applyFont="1" applyFill="1" applyBorder="1" applyAlignment="1">
      <alignment horizontal="center"/>
    </xf>
    <xf numFmtId="0" fontId="18" fillId="8" borderId="28" xfId="0" applyFont="1" applyFill="1" applyBorder="1" applyAlignment="1">
      <alignment horizontal="center"/>
    </xf>
    <xf numFmtId="0" fontId="17" fillId="2" borderId="45" xfId="0" applyFont="1" applyFill="1" applyBorder="1" applyAlignment="1">
      <alignment horizontal="left"/>
    </xf>
    <xf numFmtId="0" fontId="17" fillId="2" borderId="60" xfId="0" applyFont="1" applyFill="1" applyBorder="1" applyAlignment="1">
      <alignment horizontal="left"/>
    </xf>
    <xf numFmtId="0" fontId="23" fillId="0" borderId="0" xfId="0" applyFont="1" applyAlignment="1">
      <alignment horizontal="left"/>
    </xf>
    <xf numFmtId="0" fontId="23" fillId="4" borderId="18" xfId="0" applyFont="1" applyFill="1" applyBorder="1" applyAlignment="1">
      <alignment horizontal="center"/>
    </xf>
    <xf numFmtId="0" fontId="23" fillId="4" borderId="20" xfId="0" applyFont="1" applyFill="1" applyBorder="1" applyAlignment="1">
      <alignment horizontal="center"/>
    </xf>
    <xf numFmtId="0" fontId="23" fillId="0" borderId="18" xfId="0" applyFont="1" applyBorder="1" applyAlignment="1">
      <alignment horizontal="left"/>
    </xf>
    <xf numFmtId="0" fontId="23" fillId="0" borderId="19" xfId="0" applyFont="1" applyBorder="1" applyAlignment="1">
      <alignment horizontal="left"/>
    </xf>
    <xf numFmtId="0" fontId="23" fillId="0" borderId="61" xfId="0" applyFont="1" applyBorder="1" applyAlignment="1">
      <alignment horizontal="left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23" fillId="2" borderId="4" xfId="0" applyFont="1" applyFill="1" applyBorder="1" applyAlignment="1">
      <alignment horizontal="left"/>
    </xf>
    <xf numFmtId="0" fontId="23" fillId="2" borderId="5" xfId="0" applyFont="1" applyFill="1" applyBorder="1" applyAlignment="1">
      <alignment horizontal="left"/>
    </xf>
    <xf numFmtId="0" fontId="23" fillId="2" borderId="42" xfId="0" applyFont="1" applyFill="1" applyBorder="1" applyAlignment="1">
      <alignment horizontal="left"/>
    </xf>
    <xf numFmtId="0" fontId="17" fillId="2" borderId="2" xfId="0" applyFont="1" applyFill="1" applyBorder="1" applyAlignment="1">
      <alignment horizontal="left"/>
    </xf>
    <xf numFmtId="0" fontId="17" fillId="2" borderId="1" xfId="0" applyFont="1" applyFill="1" applyBorder="1" applyAlignment="1">
      <alignment horizontal="left"/>
    </xf>
    <xf numFmtId="0" fontId="17" fillId="2" borderId="4" xfId="0" applyFont="1" applyFill="1" applyBorder="1" applyAlignment="1">
      <alignment horizontal="left"/>
    </xf>
    <xf numFmtId="0" fontId="17" fillId="2" borderId="5" xfId="0" applyFont="1" applyFill="1" applyBorder="1" applyAlignment="1">
      <alignment horizontal="left"/>
    </xf>
    <xf numFmtId="0" fontId="17" fillId="2" borderId="36" xfId="0" applyFont="1" applyFill="1" applyBorder="1" applyAlignment="1">
      <alignment horizontal="center"/>
    </xf>
    <xf numFmtId="0" fontId="17" fillId="2" borderId="26" xfId="0" applyFont="1" applyFill="1" applyBorder="1" applyAlignment="1">
      <alignment horizontal="center"/>
    </xf>
    <xf numFmtId="167" fontId="17" fillId="2" borderId="39" xfId="0" applyNumberFormat="1" applyFont="1" applyFill="1" applyBorder="1" applyAlignment="1">
      <alignment horizontal="center"/>
    </xf>
    <xf numFmtId="167" fontId="17" fillId="2" borderId="28" xfId="0" applyNumberFormat="1" applyFont="1" applyFill="1" applyBorder="1" applyAlignment="1">
      <alignment horizontal="center"/>
    </xf>
    <xf numFmtId="0" fontId="17" fillId="0" borderId="38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7" fillId="2" borderId="38" xfId="0" applyFont="1" applyFill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left"/>
    </xf>
    <xf numFmtId="0" fontId="23" fillId="2" borderId="25" xfId="0" applyFont="1" applyFill="1" applyBorder="1" applyAlignment="1">
      <alignment horizontal="left"/>
    </xf>
    <xf numFmtId="0" fontId="23" fillId="2" borderId="48" xfId="0" applyFont="1" applyFill="1" applyBorder="1" applyAlignment="1">
      <alignment horizontal="left"/>
    </xf>
    <xf numFmtId="0" fontId="17" fillId="11" borderId="0" xfId="0" applyFont="1" applyFill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7" fillId="4" borderId="38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8" fillId="3" borderId="45" xfId="0" applyFont="1" applyFill="1" applyBorder="1" applyAlignment="1">
      <alignment horizontal="center" vertical="center"/>
    </xf>
    <xf numFmtId="0" fontId="18" fillId="3" borderId="46" xfId="0" applyFont="1" applyFill="1" applyBorder="1" applyAlignment="1">
      <alignment horizontal="center" vertical="center"/>
    </xf>
    <xf numFmtId="0" fontId="18" fillId="3" borderId="47" xfId="0" applyFont="1" applyFill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23" fillId="4" borderId="45" xfId="0" applyFont="1" applyFill="1" applyBorder="1" applyAlignment="1">
      <alignment horizontal="left" vertical="center"/>
    </xf>
    <xf numFmtId="0" fontId="23" fillId="4" borderId="46" xfId="0" applyFont="1" applyFill="1" applyBorder="1" applyAlignment="1">
      <alignment horizontal="left" vertical="center"/>
    </xf>
    <xf numFmtId="0" fontId="23" fillId="4" borderId="47" xfId="0" applyFont="1" applyFill="1" applyBorder="1" applyAlignment="1">
      <alignment horizontal="left" vertical="center"/>
    </xf>
    <xf numFmtId="0" fontId="23" fillId="4" borderId="18" xfId="0" applyFont="1" applyFill="1" applyBorder="1" applyAlignment="1">
      <alignment horizontal="center" vertical="center"/>
    </xf>
    <xf numFmtId="0" fontId="23" fillId="4" borderId="20" xfId="0" applyFont="1" applyFill="1" applyBorder="1" applyAlignment="1">
      <alignment horizontal="center" vertical="center"/>
    </xf>
    <xf numFmtId="0" fontId="27" fillId="11" borderId="0" xfId="0" applyFont="1" applyFill="1" applyAlignment="1">
      <alignment horizontal="right" vertical="center"/>
    </xf>
    <xf numFmtId="0" fontId="38" fillId="2" borderId="0" xfId="0" applyFont="1" applyFill="1" applyAlignment="1">
      <alignment horizontal="right" vertical="center"/>
    </xf>
    <xf numFmtId="0" fontId="23" fillId="0" borderId="45" xfId="0" applyFont="1" applyBorder="1" applyAlignment="1">
      <alignment horizontal="left" vertical="center"/>
    </xf>
    <xf numFmtId="0" fontId="23" fillId="0" borderId="46" xfId="0" applyFont="1" applyBorder="1" applyAlignment="1">
      <alignment horizontal="left" vertical="center"/>
    </xf>
    <xf numFmtId="0" fontId="23" fillId="0" borderId="47" xfId="0" applyFont="1" applyBorder="1" applyAlignment="1">
      <alignment horizontal="left" vertical="center"/>
    </xf>
    <xf numFmtId="0" fontId="27" fillId="4" borderId="0" xfId="0" applyFont="1" applyFill="1" applyAlignment="1">
      <alignment horizontal="right" vertical="center"/>
    </xf>
    <xf numFmtId="0" fontId="23" fillId="4" borderId="36" xfId="0" applyFont="1" applyFill="1" applyBorder="1" applyAlignment="1">
      <alignment horizontal="center" vertical="center" textRotation="90" wrapText="1"/>
    </xf>
    <xf numFmtId="0" fontId="23" fillId="4" borderId="38" xfId="0" applyFont="1" applyFill="1" applyBorder="1" applyAlignment="1">
      <alignment horizontal="center" vertical="center" textRotation="90" wrapText="1"/>
    </xf>
    <xf numFmtId="0" fontId="23" fillId="4" borderId="39" xfId="0" applyFont="1" applyFill="1" applyBorder="1" applyAlignment="1">
      <alignment horizontal="center" vertical="center" textRotation="90" wrapText="1"/>
    </xf>
    <xf numFmtId="0" fontId="23" fillId="4" borderId="36" xfId="0" applyFont="1" applyFill="1" applyBorder="1" applyAlignment="1">
      <alignment horizontal="center" vertical="center" textRotation="90"/>
    </xf>
    <xf numFmtId="0" fontId="23" fillId="4" borderId="38" xfId="0" applyFont="1" applyFill="1" applyBorder="1" applyAlignment="1">
      <alignment horizontal="center" vertical="center" textRotation="90"/>
    </xf>
    <xf numFmtId="0" fontId="23" fillId="4" borderId="52" xfId="0" applyFont="1" applyFill="1" applyBorder="1" applyAlignment="1">
      <alignment horizontal="center" vertical="center" textRotation="90"/>
    </xf>
    <xf numFmtId="0" fontId="23" fillId="4" borderId="39" xfId="0" applyFont="1" applyFill="1" applyBorder="1" applyAlignment="1">
      <alignment horizontal="center" vertical="center" textRotation="90"/>
    </xf>
    <xf numFmtId="0" fontId="23" fillId="4" borderId="29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9" xfId="0" applyFont="1" applyFill="1" applyBorder="1" applyAlignment="1">
      <alignment horizontal="center" vertical="center"/>
    </xf>
    <xf numFmtId="0" fontId="23" fillId="4" borderId="22" xfId="0" applyFont="1" applyFill="1" applyBorder="1" applyAlignment="1">
      <alignment horizontal="center" vertical="center"/>
    </xf>
    <xf numFmtId="0" fontId="23" fillId="4" borderId="37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25" xfId="0" applyFont="1" applyFill="1" applyBorder="1" applyAlignment="1">
      <alignment horizontal="center" vertical="center"/>
    </xf>
    <xf numFmtId="0" fontId="23" fillId="4" borderId="24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24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2" fillId="3" borderId="29" xfId="0" applyFont="1" applyFill="1" applyBorder="1" applyAlignment="1">
      <alignment horizontal="center" vertical="center" textRotation="90"/>
    </xf>
    <xf numFmtId="0" fontId="12" fillId="3" borderId="21" xfId="0" applyFont="1" applyFill="1" applyBorder="1" applyAlignment="1">
      <alignment horizontal="center" vertical="center" textRotation="90"/>
    </xf>
    <xf numFmtId="0" fontId="12" fillId="3" borderId="22" xfId="0" applyFont="1" applyFill="1" applyBorder="1" applyAlignment="1">
      <alignment horizontal="center" vertical="center" textRotation="90"/>
    </xf>
    <xf numFmtId="0" fontId="12" fillId="3" borderId="18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178" fontId="17" fillId="0" borderId="66" xfId="1" applyNumberFormat="1" applyFont="1" applyBorder="1" applyAlignment="1">
      <alignment horizontal="center" vertical="center"/>
    </xf>
    <xf numFmtId="178" fontId="17" fillId="2" borderId="21" xfId="1" applyNumberFormat="1" applyFont="1" applyFill="1" applyBorder="1" applyAlignment="1">
      <alignment horizontal="center" vertical="center"/>
    </xf>
    <xf numFmtId="178" fontId="17" fillId="0" borderId="21" xfId="1" applyNumberFormat="1" applyFont="1" applyBorder="1" applyAlignment="1">
      <alignment horizontal="center" vertical="center"/>
    </xf>
    <xf numFmtId="178" fontId="17" fillId="2" borderId="22" xfId="1" applyNumberFormat="1" applyFont="1" applyFill="1" applyBorder="1" applyAlignment="1">
      <alignment horizontal="center" vertical="center"/>
    </xf>
    <xf numFmtId="10" fontId="17" fillId="0" borderId="40" xfId="1" applyNumberFormat="1" applyFont="1" applyBorder="1" applyAlignment="1">
      <alignment horizontal="center" vertical="center"/>
    </xf>
    <xf numFmtId="0" fontId="18" fillId="15" borderId="0" xfId="0" applyFont="1" applyFill="1" applyAlignment="1">
      <alignment horizontal="right" vertical="center"/>
    </xf>
    <xf numFmtId="0" fontId="20" fillId="15" borderId="0" xfId="0" applyFont="1" applyFill="1" applyAlignment="1">
      <alignment vertical="center"/>
    </xf>
    <xf numFmtId="0" fontId="18" fillId="15" borderId="0" xfId="0" applyFont="1" applyFill="1" applyAlignment="1">
      <alignment vertical="center"/>
    </xf>
    <xf numFmtId="0" fontId="44" fillId="15" borderId="0" xfId="2" applyFont="1" applyFill="1" applyAlignment="1">
      <alignment vertical="center"/>
    </xf>
    <xf numFmtId="0" fontId="45" fillId="0" borderId="0" xfId="0" applyFont="1" applyAlignment="1">
      <alignment vertical="center"/>
    </xf>
    <xf numFmtId="9" fontId="45" fillId="0" borderId="0" xfId="1" applyFont="1" applyFill="1" applyBorder="1" applyAlignment="1">
      <alignment horizontal="center" vertical="center"/>
    </xf>
    <xf numFmtId="9" fontId="45" fillId="0" borderId="0" xfId="1" applyFont="1" applyFill="1" applyBorder="1" applyAlignment="1">
      <alignment vertical="center"/>
    </xf>
    <xf numFmtId="9" fontId="45" fillId="0" borderId="0" xfId="1" applyFont="1" applyBorder="1" applyAlignment="1">
      <alignment horizontal="center" vertical="center"/>
    </xf>
    <xf numFmtId="9" fontId="45" fillId="0" borderId="0" xfId="1" applyFont="1" applyBorder="1" applyAlignment="1">
      <alignment vertical="center"/>
    </xf>
  </cellXfs>
  <cellStyles count="3">
    <cellStyle name="Hipervínculo" xfId="2" builtinId="8"/>
    <cellStyle name="Normal" xfId="0" builtinId="0" customBuiltin="1"/>
    <cellStyle name="Porcentaje" xfId="1" builtinId="5"/>
  </cellStyles>
  <dxfs count="0"/>
  <tableStyles count="0" defaultTableStyle="TableStyleMedium2" defaultPivotStyle="PivotStyleLight16"/>
  <colors>
    <mruColors>
      <color rgb="FFAE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IRR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'SENSITIVITY ANALYSIS'!$C$12:$C$15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</c:numCache>
            </c:numRef>
          </c:cat>
          <c:val>
            <c:numRef>
              <c:f>'SENSITIVITY ANALYSIS'!$D$12:$D$15</c:f>
              <c:numCache>
                <c:formatCode>0.000%</c:formatCode>
                <c:ptCount val="4"/>
                <c:pt idx="0">
                  <c:v>0.29417150636564737</c:v>
                </c:pt>
                <c:pt idx="1">
                  <c:v>0.47625662650485612</c:v>
                </c:pt>
                <c:pt idx="2">
                  <c:v>0.69779038752030065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50-42A1-9C41-D1D757D731C7}"/>
            </c:ext>
          </c:extLst>
        </c:ser>
        <c:ser>
          <c:idx val="1"/>
          <c:order val="1"/>
          <c:tx>
            <c:v>PBP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numRef>
              <c:f>'SENSITIVITY ANALYSIS'!$C$12:$C$15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</c:numCache>
            </c:numRef>
          </c:cat>
          <c:val>
            <c:numRef>
              <c:f>'SENSITIVITY ANALYSIS'!$E$12:$E$15</c:f>
              <c:numCache>
                <c:formatCode>0%</c:formatCode>
                <c:ptCount val="4"/>
                <c:pt idx="0">
                  <c:v>1</c:v>
                </c:pt>
                <c:pt idx="1">
                  <c:v>0.54721539074442571</c:v>
                </c:pt>
                <c:pt idx="2">
                  <c:v>0.35500503426889174</c:v>
                </c:pt>
                <c:pt idx="3">
                  <c:v>0.24287365235951175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50-42A1-9C41-D1D757D731C7}"/>
            </c:ext>
          </c:extLst>
        </c:ser>
        <c:ser>
          <c:idx val="2"/>
          <c:order val="2"/>
          <c:tx>
            <c:v>PI</c:v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'SENSITIVITY ANALYSIS'!$C$12:$C$15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</c:numCache>
            </c:numRef>
          </c:cat>
          <c:val>
            <c:numRef>
              <c:f>'SENSITIVITY ANALYSIS'!$F$12:$F$15</c:f>
              <c:numCache>
                <c:formatCode>0.0%</c:formatCode>
                <c:ptCount val="4"/>
                <c:pt idx="0" formatCode="0.00%">
                  <c:v>5.0314742796913357E-2</c:v>
                </c:pt>
                <c:pt idx="1">
                  <c:v>0.26135591106426587</c:v>
                </c:pt>
                <c:pt idx="2">
                  <c:v>0.55681354663855975</c:v>
                </c:pt>
                <c:pt idx="3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50-42A1-9C41-D1D757D73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3389984"/>
        <c:axId val="43321632"/>
      </c:barChart>
      <c:catAx>
        <c:axId val="1953389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Consolas" panose="020B0609020204030204" pitchFamily="49" charset="0"/>
                    <a:ea typeface="+mn-ea"/>
                    <a:cs typeface="+mn-cs"/>
                  </a:defRPr>
                </a:pPr>
                <a:r>
                  <a:rPr lang="en-US" b="1"/>
                  <a:t>SALE PRICE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Consolas" panose="020B060902020403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onsolas" panose="020B0609020204030204" pitchFamily="49" charset="0"/>
                <a:ea typeface="+mn-ea"/>
                <a:cs typeface="+mn-cs"/>
              </a:defRPr>
            </a:pPr>
            <a:endParaRPr lang="en-US"/>
          </a:p>
        </c:txPr>
        <c:crossAx val="43321632"/>
        <c:crosses val="autoZero"/>
        <c:auto val="1"/>
        <c:lblAlgn val="ctr"/>
        <c:lblOffset val="100"/>
        <c:noMultiLvlLbl val="0"/>
      </c:catAx>
      <c:valAx>
        <c:axId val="43321632"/>
        <c:scaling>
          <c:orientation val="minMax"/>
          <c:max val="1.0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Consolas" panose="020B0609020204030204" pitchFamily="49" charset="0"/>
                    <a:ea typeface="+mn-ea"/>
                    <a:cs typeface="+mn-cs"/>
                  </a:defRPr>
                </a:pPr>
                <a:r>
                  <a:rPr lang="en-US" b="1"/>
                  <a:t>NORMALIZED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Consolas" panose="020B060902020403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onsolas" panose="020B0609020204030204" pitchFamily="49" charset="0"/>
                <a:ea typeface="+mn-ea"/>
                <a:cs typeface="+mn-cs"/>
              </a:defRPr>
            </a:pPr>
            <a:endParaRPr lang="en-US"/>
          </a:p>
        </c:txPr>
        <c:crossAx val="1953389984"/>
        <c:crosses val="autoZero"/>
        <c:crossBetween val="between"/>
        <c:majorUnit val="0.1"/>
        <c:minorUnit val="5.000000000000001E-2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onsolas" panose="020B0609020204030204" pitchFamily="49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Consolas" panose="020B0609020204030204" pitchFamily="49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'SENSITIVITY ANALYSIS'!$C$5</c:f>
              <c:strCache>
                <c:ptCount val="1"/>
                <c:pt idx="0">
                  <c:v>30%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'SENSITIVITY ANALYSIS'!$G$4:$Q$4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'SENSITIVITY ANALYSIS'!$G$5:$Q$5</c:f>
              <c:numCache>
                <c:formatCode>"$"#,##0.00</c:formatCode>
                <c:ptCount val="11"/>
                <c:pt idx="0">
                  <c:v>-363145.18312981084</c:v>
                </c:pt>
                <c:pt idx="1">
                  <c:v>-332945.12145002279</c:v>
                </c:pt>
                <c:pt idx="2">
                  <c:v>-268840.95273436198</c:v>
                </c:pt>
                <c:pt idx="3">
                  <c:v>-202488.09777727572</c:v>
                </c:pt>
                <c:pt idx="4">
                  <c:v>-144700.48908717779</c:v>
                </c:pt>
                <c:pt idx="5">
                  <c:v>-94426.303905040491</c:v>
                </c:pt>
                <c:pt idx="6">
                  <c:v>-50746.530750735816</c:v>
                </c:pt>
                <c:pt idx="7">
                  <c:v>-12858.141938369547</c:v>
                </c:pt>
                <c:pt idx="8">
                  <c:v>19940.569071957492</c:v>
                </c:pt>
                <c:pt idx="9">
                  <c:v>48262.768121356421</c:v>
                </c:pt>
                <c:pt idx="10">
                  <c:v>72644.223643918274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4-4CF3-B502-5F81861F9B4F}"/>
            </c:ext>
          </c:extLst>
        </c:ser>
        <c:ser>
          <c:idx val="1"/>
          <c:order val="1"/>
          <c:tx>
            <c:strRef>
              <c:f>'SENSITIVITY ANALYSIS'!$C$6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'SENSITIVITY ANALYSIS'!$G$4:$Q$4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'SENSITIVITY ANALYSIS'!$G$6:$Q$6</c:f>
              <c:numCache>
                <c:formatCode>"$"#,##0.00</c:formatCode>
                <c:ptCount val="11"/>
                <c:pt idx="0">
                  <c:v>-363145.18312981084</c:v>
                </c:pt>
                <c:pt idx="1">
                  <c:v>-303955.92340563075</c:v>
                </c:pt>
                <c:pt idx="2">
                  <c:v>-199678.61135931674</c:v>
                </c:pt>
                <c:pt idx="3">
                  <c:v>-96604.634458034721</c:v>
                </c:pt>
                <c:pt idx="4">
                  <c:v>-6555.5014916943182</c:v>
                </c:pt>
                <c:pt idx="5">
                  <c:v>72062.20626059403</c:v>
                </c:pt>
                <c:pt idx="6">
                  <c:v>140643.3221042848</c:v>
                </c:pt>
                <c:pt idx="7">
                  <c:v>200408.90935589001</c:v>
                </c:pt>
                <c:pt idx="8">
                  <c:v>252427.94183722921</c:v>
                </c:pt>
                <c:pt idx="9">
                  <c:v>297636.24988614506</c:v>
                </c:pt>
                <c:pt idx="10">
                  <c:v>336853.08043474966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4-4CF3-B502-5F81861F9B4F}"/>
            </c:ext>
          </c:extLst>
        </c:ser>
        <c:ser>
          <c:idx val="2"/>
          <c:order val="2"/>
          <c:tx>
            <c:strRef>
              <c:f>'SENSITIVITY ANALYSIS'!$C$7</c:f>
              <c:strCache>
                <c:ptCount val="1"/>
                <c:pt idx="0">
                  <c:v>50%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'SENSITIVITY ANALYSIS'!$G$4:$Q$4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'SENSITIVITY ANALYSIS'!$G$7:$Q$7</c:f>
              <c:numCache>
                <c:formatCode>"$"#,##0.00</c:formatCode>
                <c:ptCount val="11"/>
                <c:pt idx="0">
                  <c:v>-363145.18312981084</c:v>
                </c:pt>
                <c:pt idx="1">
                  <c:v>-263371.0461434818</c:v>
                </c:pt>
                <c:pt idx="2">
                  <c:v>-102851.33343425338</c:v>
                </c:pt>
                <c:pt idx="3">
                  <c:v>51632.214188902726</c:v>
                </c:pt>
                <c:pt idx="4">
                  <c:v>186847.48114198263</c:v>
                </c:pt>
                <c:pt idx="5">
                  <c:v>305146.12049248244</c:v>
                </c:pt>
                <c:pt idx="6">
                  <c:v>408589.11610131379</c:v>
                </c:pt>
                <c:pt idx="7">
                  <c:v>498982.78116785351</c:v>
                </c:pt>
                <c:pt idx="8">
                  <c:v>577910.26370860974</c:v>
                </c:pt>
                <c:pt idx="9">
                  <c:v>646759.12435684935</c:v>
                </c:pt>
                <c:pt idx="10">
                  <c:v>706745.47994191374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4-4CF3-B502-5F81861F9B4F}"/>
            </c:ext>
          </c:extLst>
        </c:ser>
        <c:ser>
          <c:idx val="3"/>
          <c:order val="3"/>
          <c:tx>
            <c:strRef>
              <c:f>'SENSITIVITY ANALYSIS'!$C$8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'SENSITIVITY ANALYSIS'!$G$4:$Q$4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'SENSITIVITY ANALYSIS'!$G$8:$Q$8</c:f>
              <c:numCache>
                <c:formatCode>"$"#,##0.00</c:formatCode>
                <c:ptCount val="11"/>
                <c:pt idx="0">
                  <c:v>-379945.18312981084</c:v>
                </c:pt>
                <c:pt idx="1">
                  <c:v>-216163.45738596612</c:v>
                </c:pt>
                <c:pt idx="2">
                  <c:v>33415.723861833831</c:v>
                </c:pt>
                <c:pt idx="3">
                  <c:v>269435.84886236023</c:v>
                </c:pt>
                <c:pt idx="4">
                  <c:v>476262.02520489908</c:v>
                </c:pt>
                <c:pt idx="5">
                  <c:v>657451.86637351906</c:v>
                </c:pt>
                <c:pt idx="6">
                  <c:v>816125.62407691544</c:v>
                </c:pt>
                <c:pt idx="7">
                  <c:v>955020.03417769948</c:v>
                </c:pt>
                <c:pt idx="8">
                  <c:v>1076535.4964711969</c:v>
                </c:pt>
                <c:pt idx="9">
                  <c:v>1182777.4185239701</c:v>
                </c:pt>
                <c:pt idx="10">
                  <c:v>1275592.4495411857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4-4CF3-B502-5F81861F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7104"/>
        <c:axId val="584983263"/>
      </c:lineChart>
      <c:catAx>
        <c:axId val="46757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onsolas" panose="020B0609020204030204" pitchFamily="49" charset="0"/>
                    <a:ea typeface="+mn-ea"/>
                    <a:cs typeface="+mn-cs"/>
                  </a:defRPr>
                </a:pPr>
                <a:r>
                  <a:rPr lang="en-US"/>
                  <a:t>PERIOD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onsolas" panose="020B060902020403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onsolas" panose="020B0609020204030204" pitchFamily="49" charset="0"/>
                <a:ea typeface="+mn-ea"/>
                <a:cs typeface="+mn-cs"/>
              </a:defRPr>
            </a:pPr>
            <a:endParaRPr lang="en-US"/>
          </a:p>
        </c:txPr>
        <c:crossAx val="584983263"/>
        <c:crosses val="autoZero"/>
        <c:auto val="1"/>
        <c:lblAlgn val="ctr"/>
        <c:lblOffset val="100"/>
        <c:tickMarkSkip val="1"/>
        <c:noMultiLvlLbl val="0"/>
      </c:catAx>
      <c:valAx>
        <c:axId val="584983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onsolas" panose="020B0609020204030204" pitchFamily="49" charset="0"/>
                    <a:ea typeface="+mn-ea"/>
                    <a:cs typeface="+mn-cs"/>
                  </a:defRPr>
                </a:pPr>
                <a:r>
                  <a:rPr lang="en-US"/>
                  <a:t>NPV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onsolas" panose="020B060902020403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onsolas" panose="020B0609020204030204" pitchFamily="49" charset="0"/>
                <a:ea typeface="+mn-ea"/>
                <a:cs typeface="+mn-cs"/>
              </a:defRPr>
            </a:pPr>
            <a:endParaRPr lang="en-US"/>
          </a:p>
        </c:txPr>
        <c:crossAx val="46757104"/>
        <c:crosses val="autoZero"/>
        <c:crossBetween val="between"/>
        <c:majorUnit val="25000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onsolas" panose="020B0609020204030204" pitchFamily="49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Consolas" panose="020B0609020204030204" pitchFamily="49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12</xdr:row>
      <xdr:rowOff>3042</xdr:rowOff>
    </xdr:from>
    <xdr:to>
      <xdr:col>8</xdr:col>
      <xdr:colOff>1</xdr:colOff>
      <xdr:row>31</xdr:row>
      <xdr:rowOff>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D9D5978F-0502-5514-FE21-83AC46E5166E}"/>
            </a:ext>
          </a:extLst>
        </xdr:cNvPr>
        <xdr:cNvGrpSpPr/>
      </xdr:nvGrpSpPr>
      <xdr:grpSpPr>
        <a:xfrm>
          <a:off x="3914775" y="2374767"/>
          <a:ext cx="1524001" cy="3759333"/>
          <a:chOff x="5324475" y="1527042"/>
          <a:chExt cx="1524001" cy="3616458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7B197FB3-0974-4AE8-87F2-9B8754C43E54}"/>
              </a:ext>
            </a:extLst>
          </xdr:cNvPr>
          <xdr:cNvSpPr/>
        </xdr:nvSpPr>
        <xdr:spPr>
          <a:xfrm>
            <a:off x="5324475" y="1527042"/>
            <a:ext cx="1524000" cy="3616458"/>
          </a:xfrm>
          <a:prstGeom prst="roundRect">
            <a:avLst>
              <a:gd name="adj" fmla="val 36286"/>
            </a:avLst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1073006F-1F5D-406F-B1B1-A3FB3B89AB94}"/>
              </a:ext>
            </a:extLst>
          </xdr:cNvPr>
          <xdr:cNvSpPr txBox="1"/>
        </xdr:nvSpPr>
        <xdr:spPr>
          <a:xfrm>
            <a:off x="5324475" y="2095500"/>
            <a:ext cx="1524001" cy="2476500"/>
          </a:xfrm>
          <a:prstGeom prst="rect">
            <a:avLst/>
          </a:prstGeom>
          <a:noFill/>
          <a:ln w="1905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600" b="1">
                <a:latin typeface="Unilever DIN Offc Pro" panose="020B0504020101020102" pitchFamily="34" charset="0"/>
                <a:cs typeface="Unilever DIN Offc Pro" panose="020B0504020101020102" pitchFamily="34" charset="0"/>
              </a:rPr>
              <a:t>TK-101</a:t>
            </a:r>
          </a:p>
        </xdr:txBody>
      </xdr:sp>
    </xdr:grpSp>
    <xdr:clientData/>
  </xdr:twoCellAnchor>
  <xdr:twoCellAnchor>
    <xdr:from>
      <xdr:col>2</xdr:col>
      <xdr:colOff>0</xdr:colOff>
      <xdr:row>9</xdr:row>
      <xdr:rowOff>0</xdr:rowOff>
    </xdr:from>
    <xdr:to>
      <xdr:col>7</xdr:col>
      <xdr:colOff>0</xdr:colOff>
      <xdr:row>12</xdr:row>
      <xdr:rowOff>3042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6A61A7BE-B688-4478-8777-998A4B8C92C5}"/>
            </a:ext>
          </a:extLst>
        </xdr:cNvPr>
        <xdr:cNvCxnSpPr>
          <a:endCxn id="2" idx="0"/>
        </xdr:cNvCxnSpPr>
      </xdr:nvCxnSpPr>
      <xdr:spPr>
        <a:xfrm>
          <a:off x="2286000" y="2095500"/>
          <a:ext cx="3810000" cy="574542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40</xdr:row>
      <xdr:rowOff>13244</xdr:rowOff>
    </xdr:from>
    <xdr:to>
      <xdr:col>9</xdr:col>
      <xdr:colOff>0</xdr:colOff>
      <xdr:row>53</xdr:row>
      <xdr:rowOff>0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94B8DAD8-73AE-4AC4-8E6A-9C77C7D7871A}"/>
            </a:ext>
          </a:extLst>
        </xdr:cNvPr>
        <xdr:cNvGrpSpPr/>
      </xdr:nvGrpSpPr>
      <xdr:grpSpPr>
        <a:xfrm>
          <a:off x="3152775" y="7909469"/>
          <a:ext cx="3048000" cy="2539456"/>
          <a:chOff x="9144000" y="8382000"/>
          <a:chExt cx="2286000" cy="1524000"/>
        </a:xfrm>
      </xdr:grpSpPr>
      <xdr:cxnSp macro="">
        <xdr:nvCxnSpPr>
          <xdr:cNvPr id="42" name="Conector recto 41">
            <a:extLst>
              <a:ext uri="{FF2B5EF4-FFF2-40B4-BE49-F238E27FC236}">
                <a16:creationId xmlns:a16="http://schemas.microsoft.com/office/drawing/2014/main" id="{FBFD479B-2854-AFCB-EDBF-E26CA558B95B}"/>
              </a:ext>
            </a:extLst>
          </xdr:cNvPr>
          <xdr:cNvCxnSpPr/>
        </xdr:nvCxnSpPr>
        <xdr:spPr>
          <a:xfrm>
            <a:off x="9144000" y="8382000"/>
            <a:ext cx="0" cy="152400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BED9BEA0-8DC1-6991-9F53-6DDE02FB4166}"/>
              </a:ext>
            </a:extLst>
          </xdr:cNvPr>
          <xdr:cNvCxnSpPr/>
        </xdr:nvCxnSpPr>
        <xdr:spPr>
          <a:xfrm>
            <a:off x="9144000" y="9906000"/>
            <a:ext cx="2286000" cy="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CFB2B22C-BC17-DA5E-5089-2A52343980DC}"/>
              </a:ext>
            </a:extLst>
          </xdr:cNvPr>
          <xdr:cNvCxnSpPr/>
        </xdr:nvCxnSpPr>
        <xdr:spPr>
          <a:xfrm flipV="1">
            <a:off x="11430000" y="8382000"/>
            <a:ext cx="0" cy="152400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5" name="Rectángulo 44">
            <a:extLst>
              <a:ext uri="{FF2B5EF4-FFF2-40B4-BE49-F238E27FC236}">
                <a16:creationId xmlns:a16="http://schemas.microsoft.com/office/drawing/2014/main" id="{F8D42D81-D7A3-E47A-9824-6AE1600221C9}"/>
              </a:ext>
            </a:extLst>
          </xdr:cNvPr>
          <xdr:cNvSpPr/>
        </xdr:nvSpPr>
        <xdr:spPr>
          <a:xfrm>
            <a:off x="9144000" y="8382000"/>
            <a:ext cx="152400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96EC978-ACA4-9B76-C67C-7172A1DD42C9}"/>
              </a:ext>
            </a:extLst>
          </xdr:cNvPr>
          <xdr:cNvSpPr/>
        </xdr:nvSpPr>
        <xdr:spPr>
          <a:xfrm>
            <a:off x="9906000" y="8382000"/>
            <a:ext cx="152400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0</xdr:colOff>
      <xdr:row>41</xdr:row>
      <xdr:rowOff>0</xdr:rowOff>
    </xdr:from>
    <xdr:to>
      <xdr:col>9</xdr:col>
      <xdr:colOff>0</xdr:colOff>
      <xdr:row>53</xdr:row>
      <xdr:rowOff>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92F57A2B-BBF9-4CF3-96A3-1BE7F29E59DD}"/>
            </a:ext>
          </a:extLst>
        </xdr:cNvPr>
        <xdr:cNvSpPr txBox="1"/>
      </xdr:nvSpPr>
      <xdr:spPr>
        <a:xfrm>
          <a:off x="4572000" y="8191500"/>
          <a:ext cx="3048000" cy="228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TK-102</a:t>
          </a:r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41</xdr:row>
      <xdr:rowOff>0</xdr:rowOff>
    </xdr:to>
    <xdr:cxnSp macro="">
      <xdr:nvCxnSpPr>
        <xdr:cNvPr id="48" name="Conector: angular 47">
          <a:extLst>
            <a:ext uri="{FF2B5EF4-FFF2-40B4-BE49-F238E27FC236}">
              <a16:creationId xmlns:a16="http://schemas.microsoft.com/office/drawing/2014/main" id="{6C05B614-C673-4288-9EF7-12DA823C40F1}"/>
            </a:ext>
          </a:extLst>
        </xdr:cNvPr>
        <xdr:cNvCxnSpPr>
          <a:endCxn id="47" idx="0"/>
        </xdr:cNvCxnSpPr>
      </xdr:nvCxnSpPr>
      <xdr:spPr>
        <a:xfrm>
          <a:off x="2286000" y="7620000"/>
          <a:ext cx="3810000" cy="5715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</xdr:colOff>
      <xdr:row>52</xdr:row>
      <xdr:rowOff>190499</xdr:rowOff>
    </xdr:from>
    <xdr:to>
      <xdr:col>12</xdr:col>
      <xdr:colOff>1</xdr:colOff>
      <xdr:row>56</xdr:row>
      <xdr:rowOff>762</xdr:rowOff>
    </xdr:to>
    <xdr:cxnSp macro="">
      <xdr:nvCxnSpPr>
        <xdr:cNvPr id="51" name="Conector: angular 50">
          <a:extLst>
            <a:ext uri="{FF2B5EF4-FFF2-40B4-BE49-F238E27FC236}">
              <a16:creationId xmlns:a16="http://schemas.microsoft.com/office/drawing/2014/main" id="{F38277C9-BA39-4BBF-8111-9C786691D14F}"/>
            </a:ext>
          </a:extLst>
        </xdr:cNvPr>
        <xdr:cNvCxnSpPr>
          <a:stCxn id="47" idx="2"/>
          <a:endCxn id="156" idx="1"/>
        </xdr:cNvCxnSpPr>
      </xdr:nvCxnSpPr>
      <xdr:spPr>
        <a:xfrm rot="16200000" flipH="1">
          <a:off x="7714869" y="8858631"/>
          <a:ext cx="572263" cy="38100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</xdr:colOff>
      <xdr:row>30</xdr:row>
      <xdr:rowOff>190499</xdr:rowOff>
    </xdr:from>
    <xdr:to>
      <xdr:col>19</xdr:col>
      <xdr:colOff>1</xdr:colOff>
      <xdr:row>38</xdr:row>
      <xdr:rowOff>166452</xdr:rowOff>
    </xdr:to>
    <xdr:cxnSp macro="">
      <xdr:nvCxnSpPr>
        <xdr:cNvPr id="58" name="Conector: angular 57">
          <a:extLst>
            <a:ext uri="{FF2B5EF4-FFF2-40B4-BE49-F238E27FC236}">
              <a16:creationId xmlns:a16="http://schemas.microsoft.com/office/drawing/2014/main" id="{2428DF45-74B3-4C67-9B00-9B5C3669A315}"/>
            </a:ext>
          </a:extLst>
        </xdr:cNvPr>
        <xdr:cNvCxnSpPr>
          <a:stCxn id="2" idx="2"/>
          <a:endCxn id="35" idx="0"/>
        </xdr:cNvCxnSpPr>
      </xdr:nvCxnSpPr>
      <xdr:spPr>
        <a:xfrm rot="16200000" flipH="1">
          <a:off x="9918024" y="2464476"/>
          <a:ext cx="1499953" cy="9144000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19</xdr:row>
      <xdr:rowOff>0</xdr:rowOff>
    </xdr:from>
    <xdr:to>
      <xdr:col>25</xdr:col>
      <xdr:colOff>0</xdr:colOff>
      <xdr:row>25</xdr:row>
      <xdr:rowOff>0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1D7B8EF8-7C4B-5217-6516-A21EB13B799F}"/>
            </a:ext>
          </a:extLst>
        </xdr:cNvPr>
        <xdr:cNvSpPr/>
      </xdr:nvSpPr>
      <xdr:spPr>
        <a:xfrm>
          <a:off x="17526000" y="4000500"/>
          <a:ext cx="2286000" cy="1143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761999</xdr:colOff>
      <xdr:row>38</xdr:row>
      <xdr:rowOff>145658</xdr:rowOff>
    </xdr:from>
    <xdr:to>
      <xdr:col>19</xdr:col>
      <xdr:colOff>761999</xdr:colOff>
      <xdr:row>46</xdr:row>
      <xdr:rowOff>151772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727AB4F6-C524-4370-BAA6-35A404B38C6D}"/>
            </a:ext>
          </a:extLst>
        </xdr:cNvPr>
        <xdr:cNvSpPr txBox="1"/>
      </xdr:nvSpPr>
      <xdr:spPr>
        <a:xfrm>
          <a:off x="13715999" y="7834931"/>
          <a:ext cx="2286000" cy="153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TK-103A/B</a:t>
          </a:r>
        </a:p>
      </xdr:txBody>
    </xdr:sp>
    <xdr:clientData/>
  </xdr:twoCellAnchor>
  <xdr:twoCellAnchor>
    <xdr:from>
      <xdr:col>11</xdr:col>
      <xdr:colOff>757859</xdr:colOff>
      <xdr:row>52</xdr:row>
      <xdr:rowOff>190499</xdr:rowOff>
    </xdr:from>
    <xdr:to>
      <xdr:col>14</xdr:col>
      <xdr:colOff>757859</xdr:colOff>
      <xdr:row>58</xdr:row>
      <xdr:rowOff>190499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3253184A-1037-438C-B6BC-F039A6C34BC7}"/>
            </a:ext>
          </a:extLst>
        </xdr:cNvPr>
        <xdr:cNvSpPr txBox="1"/>
      </xdr:nvSpPr>
      <xdr:spPr>
        <a:xfrm>
          <a:off x="9901859" y="10477499"/>
          <a:ext cx="2286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CR-101</a:t>
          </a:r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33</xdr:col>
      <xdr:colOff>0</xdr:colOff>
      <xdr:row>25</xdr:row>
      <xdr:rowOff>0</xdr:rowOff>
    </xdr:to>
    <xdr:sp macro="" textlink="">
      <xdr:nvSpPr>
        <xdr:cNvPr id="88" name="Rectángulo 87">
          <a:extLst>
            <a:ext uri="{FF2B5EF4-FFF2-40B4-BE49-F238E27FC236}">
              <a16:creationId xmlns:a16="http://schemas.microsoft.com/office/drawing/2014/main" id="{A723488D-2284-41D9-99DD-9FDD930BA384}"/>
            </a:ext>
          </a:extLst>
        </xdr:cNvPr>
        <xdr:cNvSpPr/>
      </xdr:nvSpPr>
      <xdr:spPr>
        <a:xfrm>
          <a:off x="23622000" y="4000500"/>
          <a:ext cx="2286000" cy="1143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18</xdr:row>
      <xdr:rowOff>176893</xdr:rowOff>
    </xdr:from>
    <xdr:to>
      <xdr:col>25</xdr:col>
      <xdr:colOff>0</xdr:colOff>
      <xdr:row>24</xdr:row>
      <xdr:rowOff>163285</xdr:rowOff>
    </xdr:to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A9CED2D8-5DC6-4039-9145-8F15AD8FE614}"/>
            </a:ext>
          </a:extLst>
        </xdr:cNvPr>
        <xdr:cNvSpPr txBox="1"/>
      </xdr:nvSpPr>
      <xdr:spPr>
        <a:xfrm>
          <a:off x="17526000" y="3986893"/>
          <a:ext cx="2286000" cy="1129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CR-102</a:t>
          </a:r>
        </a:p>
      </xdr:txBody>
    </xdr:sp>
    <xdr:clientData/>
  </xdr:twoCellAnchor>
  <xdr:twoCellAnchor>
    <xdr:from>
      <xdr:col>25</xdr:col>
      <xdr:colOff>0</xdr:colOff>
      <xdr:row>22</xdr:row>
      <xdr:rowOff>0</xdr:rowOff>
    </xdr:from>
    <xdr:to>
      <xdr:col>30</xdr:col>
      <xdr:colOff>0</xdr:colOff>
      <xdr:row>22</xdr:row>
      <xdr:rowOff>0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586389DB-CF64-DE40-A0A3-497006F0FFA4}"/>
            </a:ext>
          </a:extLst>
        </xdr:cNvPr>
        <xdr:cNvCxnSpPr>
          <a:stCxn id="62" idx="3"/>
          <a:endCxn id="88" idx="1"/>
        </xdr:cNvCxnSpPr>
      </xdr:nvCxnSpPr>
      <xdr:spPr>
        <a:xfrm>
          <a:off x="19812000" y="4572000"/>
          <a:ext cx="3810000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34</xdr:row>
      <xdr:rowOff>0</xdr:rowOff>
    </xdr:from>
    <xdr:to>
      <xdr:col>33</xdr:col>
      <xdr:colOff>0</xdr:colOff>
      <xdr:row>40</xdr:row>
      <xdr:rowOff>0</xdr:rowOff>
    </xdr:to>
    <xdr:sp macro="" textlink="">
      <xdr:nvSpPr>
        <xdr:cNvPr id="107" name="Rectángulo 106">
          <a:extLst>
            <a:ext uri="{FF2B5EF4-FFF2-40B4-BE49-F238E27FC236}">
              <a16:creationId xmlns:a16="http://schemas.microsoft.com/office/drawing/2014/main" id="{21C86B48-5FEA-4C42-995E-9983E1676CA3}"/>
            </a:ext>
          </a:extLst>
        </xdr:cNvPr>
        <xdr:cNvSpPr/>
      </xdr:nvSpPr>
      <xdr:spPr>
        <a:xfrm>
          <a:off x="23622000" y="6858000"/>
          <a:ext cx="2286000" cy="1143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381000</xdr:colOff>
      <xdr:row>25</xdr:row>
      <xdr:rowOff>0</xdr:rowOff>
    </xdr:from>
    <xdr:to>
      <xdr:col>31</xdr:col>
      <xdr:colOff>381000</xdr:colOff>
      <xdr:row>34</xdr:row>
      <xdr:rowOff>0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A77355DF-2061-4B75-AADD-5FB44D751A42}"/>
            </a:ext>
          </a:extLst>
        </xdr:cNvPr>
        <xdr:cNvCxnSpPr>
          <a:stCxn id="88" idx="2"/>
          <a:endCxn id="107" idx="0"/>
        </xdr:cNvCxnSpPr>
      </xdr:nvCxnSpPr>
      <xdr:spPr>
        <a:xfrm>
          <a:off x="24765000" y="5143500"/>
          <a:ext cx="0" cy="17145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381000</xdr:colOff>
      <xdr:row>40</xdr:row>
      <xdr:rowOff>0</xdr:rowOff>
    </xdr:from>
    <xdr:to>
      <xdr:col>31</xdr:col>
      <xdr:colOff>381000</xdr:colOff>
      <xdr:row>49</xdr:row>
      <xdr:rowOff>0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323AEB0F-BBD8-4C32-8A9B-A622EE943A0B}"/>
            </a:ext>
          </a:extLst>
        </xdr:cNvPr>
        <xdr:cNvCxnSpPr>
          <a:cxnSpLocks/>
          <a:stCxn id="107" idx="2"/>
        </xdr:cNvCxnSpPr>
      </xdr:nvCxnSpPr>
      <xdr:spPr>
        <a:xfrm>
          <a:off x="24765000" y="8001000"/>
          <a:ext cx="0" cy="17145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18</xdr:row>
      <xdr:rowOff>176893</xdr:rowOff>
    </xdr:from>
    <xdr:to>
      <xdr:col>33</xdr:col>
      <xdr:colOff>0</xdr:colOff>
      <xdr:row>24</xdr:row>
      <xdr:rowOff>163285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7933684A-C2C9-45E1-B4EA-C3F7F7B87390}"/>
            </a:ext>
          </a:extLst>
        </xdr:cNvPr>
        <xdr:cNvSpPr txBox="1"/>
      </xdr:nvSpPr>
      <xdr:spPr>
        <a:xfrm>
          <a:off x="23622000" y="3986893"/>
          <a:ext cx="2286000" cy="1129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EQ-101</a:t>
          </a:r>
        </a:p>
      </xdr:txBody>
    </xdr:sp>
    <xdr:clientData/>
  </xdr:twoCellAnchor>
  <xdr:twoCellAnchor>
    <xdr:from>
      <xdr:col>30</xdr:col>
      <xdr:colOff>0</xdr:colOff>
      <xdr:row>34</xdr:row>
      <xdr:rowOff>26852</xdr:rowOff>
    </xdr:from>
    <xdr:to>
      <xdr:col>33</xdr:col>
      <xdr:colOff>0</xdr:colOff>
      <xdr:row>40</xdr:row>
      <xdr:rowOff>13244</xdr:rowOff>
    </xdr:to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466AD255-D3B2-4BF7-878D-40DD9CDB5CC1}"/>
            </a:ext>
          </a:extLst>
        </xdr:cNvPr>
        <xdr:cNvSpPr txBox="1"/>
      </xdr:nvSpPr>
      <xdr:spPr>
        <a:xfrm>
          <a:off x="23622000" y="6884852"/>
          <a:ext cx="2286000" cy="1129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EQ-102</a:t>
          </a:r>
        </a:p>
      </xdr:txBody>
    </xdr:sp>
    <xdr:clientData/>
  </xdr:twoCellAnchor>
  <xdr:twoCellAnchor>
    <xdr:from>
      <xdr:col>33</xdr:col>
      <xdr:colOff>0</xdr:colOff>
      <xdr:row>37</xdr:row>
      <xdr:rowOff>20048</xdr:rowOff>
    </xdr:from>
    <xdr:to>
      <xdr:col>39</xdr:col>
      <xdr:colOff>0</xdr:colOff>
      <xdr:row>41</xdr:row>
      <xdr:rowOff>0</xdr:rowOff>
    </xdr:to>
    <xdr:cxnSp macro="">
      <xdr:nvCxnSpPr>
        <xdr:cNvPr id="123" name="Conector: angular 122">
          <a:extLst>
            <a:ext uri="{FF2B5EF4-FFF2-40B4-BE49-F238E27FC236}">
              <a16:creationId xmlns:a16="http://schemas.microsoft.com/office/drawing/2014/main" id="{228FE52D-FF03-4E28-9BE8-70457F4E7F9D}"/>
            </a:ext>
          </a:extLst>
        </xdr:cNvPr>
        <xdr:cNvCxnSpPr>
          <a:cxnSpLocks/>
          <a:stCxn id="116" idx="3"/>
          <a:endCxn id="122" idx="0"/>
        </xdr:cNvCxnSpPr>
      </xdr:nvCxnSpPr>
      <xdr:spPr>
        <a:xfrm>
          <a:off x="25908000" y="7449548"/>
          <a:ext cx="4572000" cy="741952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41</xdr:row>
      <xdr:rowOff>121226</xdr:rowOff>
    </xdr:from>
    <xdr:to>
      <xdr:col>41</xdr:col>
      <xdr:colOff>0</xdr:colOff>
      <xdr:row>53</xdr:row>
      <xdr:rowOff>121226</xdr:rowOff>
    </xdr:to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8728F226-C49F-4148-93AF-8BBCFB86E99E}"/>
            </a:ext>
          </a:extLst>
        </xdr:cNvPr>
        <xdr:cNvSpPr txBox="1"/>
      </xdr:nvSpPr>
      <xdr:spPr>
        <a:xfrm>
          <a:off x="28956000" y="8312726"/>
          <a:ext cx="3048000" cy="228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TK-104</a:t>
          </a:r>
        </a:p>
      </xdr:txBody>
    </xdr:sp>
    <xdr:clientData/>
  </xdr:twoCellAnchor>
  <xdr:twoCellAnchor>
    <xdr:from>
      <xdr:col>39</xdr:col>
      <xdr:colOff>1</xdr:colOff>
      <xdr:row>53</xdr:row>
      <xdr:rowOff>177254</xdr:rowOff>
    </xdr:from>
    <xdr:to>
      <xdr:col>44</xdr:col>
      <xdr:colOff>1</xdr:colOff>
      <xdr:row>55</xdr:row>
      <xdr:rowOff>190499</xdr:rowOff>
    </xdr:to>
    <xdr:cxnSp macro="">
      <xdr:nvCxnSpPr>
        <xdr:cNvPr id="132" name="Conector: angular 131">
          <a:extLst>
            <a:ext uri="{FF2B5EF4-FFF2-40B4-BE49-F238E27FC236}">
              <a16:creationId xmlns:a16="http://schemas.microsoft.com/office/drawing/2014/main" id="{91805FE6-8122-457C-A7D6-589219E25DBD}"/>
            </a:ext>
          </a:extLst>
        </xdr:cNvPr>
        <xdr:cNvCxnSpPr>
          <a:cxnSpLocks/>
          <a:stCxn id="177" idx="2"/>
        </xdr:cNvCxnSpPr>
      </xdr:nvCxnSpPr>
      <xdr:spPr>
        <a:xfrm rot="16200000" flipH="1">
          <a:off x="32187878" y="9137377"/>
          <a:ext cx="394245" cy="38100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21</xdr:row>
      <xdr:rowOff>149315</xdr:rowOff>
    </xdr:from>
    <xdr:to>
      <xdr:col>33</xdr:col>
      <xdr:colOff>0</xdr:colOff>
      <xdr:row>23</xdr:row>
      <xdr:rowOff>162559</xdr:rowOff>
    </xdr:to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B940C3E7-027D-4DE7-A9DE-76887A242803}"/>
            </a:ext>
          </a:extLst>
        </xdr:cNvPr>
        <xdr:cNvSpPr txBox="1"/>
      </xdr:nvSpPr>
      <xdr:spPr>
        <a:xfrm>
          <a:off x="23622000" y="4530815"/>
          <a:ext cx="2286000" cy="3942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0" i="1">
              <a:latin typeface="Unilever DIN Offc Pro" panose="020B0504020101020102" pitchFamily="34" charset="0"/>
              <a:cs typeface="Unilever DIN Offc Pro" panose="020B0504020101020102" pitchFamily="34" charset="0"/>
            </a:rPr>
            <a:t>FREEZE-DRYER</a:t>
          </a:r>
        </a:p>
      </xdr:txBody>
    </xdr:sp>
    <xdr:clientData/>
  </xdr:twoCellAnchor>
  <xdr:twoCellAnchor>
    <xdr:from>
      <xdr:col>30</xdr:col>
      <xdr:colOff>0</xdr:colOff>
      <xdr:row>36</xdr:row>
      <xdr:rowOff>176893</xdr:rowOff>
    </xdr:from>
    <xdr:to>
      <xdr:col>33</xdr:col>
      <xdr:colOff>0</xdr:colOff>
      <xdr:row>38</xdr:row>
      <xdr:rowOff>190137</xdr:rowOff>
    </xdr:to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C3DECE2C-CA03-4B4E-81DF-16F745CA8247}"/>
            </a:ext>
          </a:extLst>
        </xdr:cNvPr>
        <xdr:cNvSpPr txBox="1"/>
      </xdr:nvSpPr>
      <xdr:spPr>
        <a:xfrm>
          <a:off x="23622000" y="7415893"/>
          <a:ext cx="2286000" cy="3942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0" i="1">
              <a:latin typeface="Unilever DIN Offc Pro" panose="020B0504020101020102" pitchFamily="34" charset="0"/>
              <a:cs typeface="Unilever DIN Offc Pro" panose="020B0504020101020102" pitchFamily="34" charset="0"/>
            </a:rPr>
            <a:t>SIEVES</a:t>
          </a:r>
        </a:p>
      </xdr:txBody>
    </xdr:sp>
    <xdr:clientData/>
  </xdr:twoCellAnchor>
  <xdr:twoCellAnchor>
    <xdr:from>
      <xdr:col>22</xdr:col>
      <xdr:colOff>0</xdr:colOff>
      <xdr:row>21</xdr:row>
      <xdr:rowOff>149315</xdr:rowOff>
    </xdr:from>
    <xdr:to>
      <xdr:col>25</xdr:col>
      <xdr:colOff>0</xdr:colOff>
      <xdr:row>23</xdr:row>
      <xdr:rowOff>162559</xdr:rowOff>
    </xdr:to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B894A972-64B3-4610-B187-CB5925135282}"/>
            </a:ext>
          </a:extLst>
        </xdr:cNvPr>
        <xdr:cNvSpPr txBox="1"/>
      </xdr:nvSpPr>
      <xdr:spPr>
        <a:xfrm>
          <a:off x="17526000" y="4530815"/>
          <a:ext cx="2286000" cy="3942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0" i="1">
              <a:latin typeface="Unilever DIN Offc Pro" panose="020B0504020101020102" pitchFamily="34" charset="0"/>
              <a:cs typeface="Unilever DIN Offc Pro" panose="020B0504020101020102" pitchFamily="34" charset="0"/>
            </a:rPr>
            <a:t>CRUSHER</a:t>
          </a:r>
        </a:p>
      </xdr:txBody>
    </xdr:sp>
    <xdr:clientData/>
  </xdr:twoCellAnchor>
  <xdr:twoCellAnchor>
    <xdr:from>
      <xdr:col>11</xdr:col>
      <xdr:colOff>757859</xdr:colOff>
      <xdr:row>56</xdr:row>
      <xdr:rowOff>13244</xdr:rowOff>
    </xdr:from>
    <xdr:to>
      <xdr:col>14</xdr:col>
      <xdr:colOff>757859</xdr:colOff>
      <xdr:row>58</xdr:row>
      <xdr:rowOff>26488</xdr:rowOff>
    </xdr:to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9AC6FDD5-D903-48AB-A33B-66B4BAE8AF83}"/>
            </a:ext>
          </a:extLst>
        </xdr:cNvPr>
        <xdr:cNvSpPr txBox="1"/>
      </xdr:nvSpPr>
      <xdr:spPr>
        <a:xfrm>
          <a:off x="9901859" y="11062244"/>
          <a:ext cx="2286000" cy="3942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0" i="1">
              <a:latin typeface="Unilever DIN Offc Pro" panose="020B0504020101020102" pitchFamily="34" charset="0"/>
              <a:cs typeface="Unilever DIN Offc Pro" panose="020B0504020101020102" pitchFamily="34" charset="0"/>
            </a:rPr>
            <a:t>PRE-CUTTER</a:t>
          </a:r>
        </a:p>
      </xdr:txBody>
    </xdr:sp>
    <xdr:clientData/>
  </xdr:twoCellAnchor>
  <xdr:twoCellAnchor>
    <xdr:from>
      <xdr:col>4</xdr:col>
      <xdr:colOff>95009</xdr:colOff>
      <xdr:row>7</xdr:row>
      <xdr:rowOff>124239</xdr:rowOff>
    </xdr:from>
    <xdr:to>
      <xdr:col>4</xdr:col>
      <xdr:colOff>620714</xdr:colOff>
      <xdr:row>10</xdr:row>
      <xdr:rowOff>74831</xdr:rowOff>
    </xdr:to>
    <xdr:sp macro="" textlink="">
      <xdr:nvSpPr>
        <xdr:cNvPr id="140" name="Diagrama de flujo: decisión 139">
          <a:extLst>
            <a:ext uri="{FF2B5EF4-FFF2-40B4-BE49-F238E27FC236}">
              <a16:creationId xmlns:a16="http://schemas.microsoft.com/office/drawing/2014/main" id="{285566AC-E78E-408D-B9B7-0744C5D2111A}"/>
            </a:ext>
          </a:extLst>
        </xdr:cNvPr>
        <xdr:cNvSpPr/>
      </xdr:nvSpPr>
      <xdr:spPr>
        <a:xfrm>
          <a:off x="3905009" y="1838739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95009</xdr:colOff>
      <xdr:row>36</xdr:row>
      <xdr:rowOff>128504</xdr:rowOff>
    </xdr:from>
    <xdr:to>
      <xdr:col>4</xdr:col>
      <xdr:colOff>620714</xdr:colOff>
      <xdr:row>39</xdr:row>
      <xdr:rowOff>79096</xdr:rowOff>
    </xdr:to>
    <xdr:sp macro="" textlink="">
      <xdr:nvSpPr>
        <xdr:cNvPr id="141" name="Diagrama de flujo: decisión 140">
          <a:extLst>
            <a:ext uri="{FF2B5EF4-FFF2-40B4-BE49-F238E27FC236}">
              <a16:creationId xmlns:a16="http://schemas.microsoft.com/office/drawing/2014/main" id="{F69318DA-FDD3-42E2-9333-898AF4BE5959}"/>
            </a:ext>
          </a:extLst>
        </xdr:cNvPr>
        <xdr:cNvSpPr/>
      </xdr:nvSpPr>
      <xdr:spPr>
        <a:xfrm>
          <a:off x="3905009" y="7367504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12</xdr:col>
      <xdr:colOff>236295</xdr:colOff>
      <xdr:row>33</xdr:row>
      <xdr:rowOff>112059</xdr:rowOff>
    </xdr:from>
    <xdr:to>
      <xdr:col>13</xdr:col>
      <xdr:colOff>0</xdr:colOff>
      <xdr:row>36</xdr:row>
      <xdr:rowOff>62651</xdr:rowOff>
    </xdr:to>
    <xdr:sp macro="" textlink="">
      <xdr:nvSpPr>
        <xdr:cNvPr id="142" name="Diagrama de flujo: decisión 141">
          <a:extLst>
            <a:ext uri="{FF2B5EF4-FFF2-40B4-BE49-F238E27FC236}">
              <a16:creationId xmlns:a16="http://schemas.microsoft.com/office/drawing/2014/main" id="{6DBAEBBA-1296-4398-BBDE-E360D4D83870}"/>
            </a:ext>
          </a:extLst>
        </xdr:cNvPr>
        <xdr:cNvSpPr/>
      </xdr:nvSpPr>
      <xdr:spPr>
        <a:xfrm>
          <a:off x="10142295" y="6779559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9</xdr:col>
      <xdr:colOff>80057</xdr:colOff>
      <xdr:row>54</xdr:row>
      <xdr:rowOff>116643</xdr:rowOff>
    </xdr:from>
    <xdr:to>
      <xdr:col>9</xdr:col>
      <xdr:colOff>605762</xdr:colOff>
      <xdr:row>57</xdr:row>
      <xdr:rowOff>67235</xdr:rowOff>
    </xdr:to>
    <xdr:sp macro="" textlink="">
      <xdr:nvSpPr>
        <xdr:cNvPr id="143" name="Diagrama de flujo: decisión 142">
          <a:extLst>
            <a:ext uri="{FF2B5EF4-FFF2-40B4-BE49-F238E27FC236}">
              <a16:creationId xmlns:a16="http://schemas.microsoft.com/office/drawing/2014/main" id="{AC6F1FFB-63B7-44AE-AFF9-58055FB37A2C}"/>
            </a:ext>
          </a:extLst>
        </xdr:cNvPr>
        <xdr:cNvSpPr/>
      </xdr:nvSpPr>
      <xdr:spPr>
        <a:xfrm>
          <a:off x="7700057" y="10975143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27</xdr:col>
      <xdr:colOff>357809</xdr:colOff>
      <xdr:row>20</xdr:row>
      <xdr:rowOff>132522</xdr:rowOff>
    </xdr:from>
    <xdr:to>
      <xdr:col>28</xdr:col>
      <xdr:colOff>121514</xdr:colOff>
      <xdr:row>23</xdr:row>
      <xdr:rowOff>83114</xdr:rowOff>
    </xdr:to>
    <xdr:sp macro="" textlink="">
      <xdr:nvSpPr>
        <xdr:cNvPr id="147" name="Diagrama de flujo: decisión 146">
          <a:extLst>
            <a:ext uri="{FF2B5EF4-FFF2-40B4-BE49-F238E27FC236}">
              <a16:creationId xmlns:a16="http://schemas.microsoft.com/office/drawing/2014/main" id="{66412115-8EEA-4738-B39B-37F3F49F88F9}"/>
            </a:ext>
          </a:extLst>
        </xdr:cNvPr>
        <xdr:cNvSpPr/>
      </xdr:nvSpPr>
      <xdr:spPr>
        <a:xfrm>
          <a:off x="21693809" y="4380672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31</xdr:col>
      <xdr:colOff>123170</xdr:colOff>
      <xdr:row>27</xdr:row>
      <xdr:rowOff>181930</xdr:rowOff>
    </xdr:from>
    <xdr:to>
      <xdr:col>31</xdr:col>
      <xdr:colOff>648875</xdr:colOff>
      <xdr:row>30</xdr:row>
      <xdr:rowOff>132522</xdr:rowOff>
    </xdr:to>
    <xdr:sp macro="" textlink="">
      <xdr:nvSpPr>
        <xdr:cNvPr id="148" name="Diagrama de flujo: decisión 147">
          <a:extLst>
            <a:ext uri="{FF2B5EF4-FFF2-40B4-BE49-F238E27FC236}">
              <a16:creationId xmlns:a16="http://schemas.microsoft.com/office/drawing/2014/main" id="{E09C71B7-F0F8-43DC-BFB5-F6B2E7548B67}"/>
            </a:ext>
          </a:extLst>
        </xdr:cNvPr>
        <xdr:cNvSpPr/>
      </xdr:nvSpPr>
      <xdr:spPr>
        <a:xfrm>
          <a:off x="24507170" y="5706430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31</xdr:col>
      <xdr:colOff>123170</xdr:colOff>
      <xdr:row>42</xdr:row>
      <xdr:rowOff>176960</xdr:rowOff>
    </xdr:from>
    <xdr:to>
      <xdr:col>31</xdr:col>
      <xdr:colOff>648875</xdr:colOff>
      <xdr:row>45</xdr:row>
      <xdr:rowOff>127552</xdr:rowOff>
    </xdr:to>
    <xdr:sp macro="" textlink="">
      <xdr:nvSpPr>
        <xdr:cNvPr id="149" name="Diagrama de flujo: decisión 148">
          <a:extLst>
            <a:ext uri="{FF2B5EF4-FFF2-40B4-BE49-F238E27FC236}">
              <a16:creationId xmlns:a16="http://schemas.microsoft.com/office/drawing/2014/main" id="{653D2D5A-FD56-42C1-AA2F-FE2A7C0A2992}"/>
            </a:ext>
          </a:extLst>
        </xdr:cNvPr>
        <xdr:cNvSpPr/>
      </xdr:nvSpPr>
      <xdr:spPr>
        <a:xfrm>
          <a:off x="24507170" y="8558960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35</xdr:col>
      <xdr:colOff>236295</xdr:colOff>
      <xdr:row>35</xdr:row>
      <xdr:rowOff>131134</xdr:rowOff>
    </xdr:from>
    <xdr:to>
      <xdr:col>36</xdr:col>
      <xdr:colOff>0</xdr:colOff>
      <xdr:row>38</xdr:row>
      <xdr:rowOff>81726</xdr:rowOff>
    </xdr:to>
    <xdr:sp macro="" textlink="">
      <xdr:nvSpPr>
        <xdr:cNvPr id="151" name="Diagrama de flujo: decisión 150">
          <a:extLst>
            <a:ext uri="{FF2B5EF4-FFF2-40B4-BE49-F238E27FC236}">
              <a16:creationId xmlns:a16="http://schemas.microsoft.com/office/drawing/2014/main" id="{A906DF7A-8AD5-4D66-8FC6-77A1BF8DC483}"/>
            </a:ext>
          </a:extLst>
        </xdr:cNvPr>
        <xdr:cNvSpPr/>
      </xdr:nvSpPr>
      <xdr:spPr>
        <a:xfrm>
          <a:off x="27668295" y="7284409"/>
          <a:ext cx="525705" cy="531617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41</xdr:col>
      <xdr:colOff>198195</xdr:colOff>
      <xdr:row>54</xdr:row>
      <xdr:rowOff>126583</xdr:rowOff>
    </xdr:from>
    <xdr:to>
      <xdr:col>41</xdr:col>
      <xdr:colOff>723900</xdr:colOff>
      <xdr:row>57</xdr:row>
      <xdr:rowOff>77175</xdr:rowOff>
    </xdr:to>
    <xdr:sp macro="" textlink="">
      <xdr:nvSpPr>
        <xdr:cNvPr id="152" name="Diagrama de flujo: decisión 151">
          <a:extLst>
            <a:ext uri="{FF2B5EF4-FFF2-40B4-BE49-F238E27FC236}">
              <a16:creationId xmlns:a16="http://schemas.microsoft.com/office/drawing/2014/main" id="{3E74B8C0-F94A-4D42-BB92-2171F29C34CB}"/>
            </a:ext>
          </a:extLst>
        </xdr:cNvPr>
        <xdr:cNvSpPr/>
      </xdr:nvSpPr>
      <xdr:spPr>
        <a:xfrm>
          <a:off x="32202195" y="10937458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12</xdr:col>
      <xdr:colOff>0</xdr:colOff>
      <xdr:row>53</xdr:row>
      <xdr:rowOff>763</xdr:rowOff>
    </xdr:from>
    <xdr:to>
      <xdr:col>15</xdr:col>
      <xdr:colOff>0</xdr:colOff>
      <xdr:row>59</xdr:row>
      <xdr:rowOff>763</xdr:rowOff>
    </xdr:to>
    <xdr:sp macro="" textlink="">
      <xdr:nvSpPr>
        <xdr:cNvPr id="156" name="Rectángulo 155">
          <a:extLst>
            <a:ext uri="{FF2B5EF4-FFF2-40B4-BE49-F238E27FC236}">
              <a16:creationId xmlns:a16="http://schemas.microsoft.com/office/drawing/2014/main" id="{5DCD6570-E327-4D39-85E9-78DA4F9A016A}"/>
            </a:ext>
          </a:extLst>
        </xdr:cNvPr>
        <xdr:cNvSpPr/>
      </xdr:nvSpPr>
      <xdr:spPr>
        <a:xfrm>
          <a:off x="9906000" y="10478263"/>
          <a:ext cx="2286000" cy="1143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38</xdr:row>
      <xdr:rowOff>166453</xdr:rowOff>
    </xdr:from>
    <xdr:to>
      <xdr:col>18</xdr:col>
      <xdr:colOff>0</xdr:colOff>
      <xdr:row>56</xdr:row>
      <xdr:rowOff>763</xdr:rowOff>
    </xdr:to>
    <xdr:cxnSp macro="">
      <xdr:nvCxnSpPr>
        <xdr:cNvPr id="169" name="Conector: angular 168">
          <a:extLst>
            <a:ext uri="{FF2B5EF4-FFF2-40B4-BE49-F238E27FC236}">
              <a16:creationId xmlns:a16="http://schemas.microsoft.com/office/drawing/2014/main" id="{D5F5ED47-47C8-43F5-8F9F-14AA81BD09FC}"/>
            </a:ext>
          </a:extLst>
        </xdr:cNvPr>
        <xdr:cNvCxnSpPr>
          <a:stCxn id="156" idx="3"/>
          <a:endCxn id="33" idx="0"/>
        </xdr:cNvCxnSpPr>
      </xdr:nvCxnSpPr>
      <xdr:spPr>
        <a:xfrm flipV="1">
          <a:off x="12192000" y="7786453"/>
          <a:ext cx="2286000" cy="3263310"/>
        </a:xfrm>
        <a:prstGeom prst="bentConnector4">
          <a:avLst>
            <a:gd name="adj1" fmla="val 33333"/>
            <a:gd name="adj2" fmla="val 110758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502170</xdr:colOff>
      <xdr:row>43</xdr:row>
      <xdr:rowOff>134471</xdr:rowOff>
    </xdr:from>
    <xdr:to>
      <xdr:col>16</xdr:col>
      <xdr:colOff>265875</xdr:colOff>
      <xdr:row>46</xdr:row>
      <xdr:rowOff>85063</xdr:rowOff>
    </xdr:to>
    <xdr:sp macro="" textlink="">
      <xdr:nvSpPr>
        <xdr:cNvPr id="174" name="Diagrama de flujo: decisión 173">
          <a:extLst>
            <a:ext uri="{FF2B5EF4-FFF2-40B4-BE49-F238E27FC236}">
              <a16:creationId xmlns:a16="http://schemas.microsoft.com/office/drawing/2014/main" id="{AD730B48-0129-410A-9B53-139D320B9C87}"/>
            </a:ext>
          </a:extLst>
        </xdr:cNvPr>
        <xdr:cNvSpPr/>
      </xdr:nvSpPr>
      <xdr:spPr>
        <a:xfrm>
          <a:off x="12694170" y="8706971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37</xdr:col>
      <xdr:colOff>0</xdr:colOff>
      <xdr:row>41</xdr:row>
      <xdr:rowOff>0</xdr:rowOff>
    </xdr:from>
    <xdr:to>
      <xdr:col>41</xdr:col>
      <xdr:colOff>0</xdr:colOff>
      <xdr:row>53</xdr:row>
      <xdr:rowOff>177256</xdr:rowOff>
    </xdr:to>
    <xdr:grpSp>
      <xdr:nvGrpSpPr>
        <xdr:cNvPr id="178" name="Grupo 177">
          <a:extLst>
            <a:ext uri="{FF2B5EF4-FFF2-40B4-BE49-F238E27FC236}">
              <a16:creationId xmlns:a16="http://schemas.microsoft.com/office/drawing/2014/main" id="{01B85DC3-D89E-5648-A36B-DB095BF4C864}"/>
            </a:ext>
          </a:extLst>
        </xdr:cNvPr>
        <xdr:cNvGrpSpPr/>
      </xdr:nvGrpSpPr>
      <xdr:grpSpPr>
        <a:xfrm>
          <a:off x="27603450" y="8086725"/>
          <a:ext cx="3048000" cy="2539456"/>
          <a:chOff x="25908000" y="11049000"/>
          <a:chExt cx="3048000" cy="2463256"/>
        </a:xfrm>
      </xdr:grpSpPr>
      <xdr:grpSp>
        <xdr:nvGrpSpPr>
          <xdr:cNvPr id="117" name="Grupo 116">
            <a:extLst>
              <a:ext uri="{FF2B5EF4-FFF2-40B4-BE49-F238E27FC236}">
                <a16:creationId xmlns:a16="http://schemas.microsoft.com/office/drawing/2014/main" id="{E4126A6B-53E2-42BE-B65D-5CA67480A92F}"/>
              </a:ext>
            </a:extLst>
          </xdr:cNvPr>
          <xdr:cNvGrpSpPr/>
        </xdr:nvGrpSpPr>
        <xdr:grpSpPr>
          <a:xfrm>
            <a:off x="25908000" y="11049000"/>
            <a:ext cx="3048000" cy="2463256"/>
            <a:chOff x="9144000" y="8382000"/>
            <a:chExt cx="2286000" cy="1524000"/>
          </a:xfrm>
        </xdr:grpSpPr>
        <xdr:cxnSp macro="">
          <xdr:nvCxnSpPr>
            <xdr:cNvPr id="118" name="Conector recto 117">
              <a:extLst>
                <a:ext uri="{FF2B5EF4-FFF2-40B4-BE49-F238E27FC236}">
                  <a16:creationId xmlns:a16="http://schemas.microsoft.com/office/drawing/2014/main" id="{41DE047C-A0CE-23E2-5BDA-4E6B077C4FA3}"/>
                </a:ext>
              </a:extLst>
            </xdr:cNvPr>
            <xdr:cNvCxnSpPr/>
          </xdr:nvCxnSpPr>
          <xdr:spPr>
            <a:xfrm>
              <a:off x="9144000" y="8382000"/>
              <a:ext cx="0" cy="1524000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19" name="Conector recto 118">
              <a:extLst>
                <a:ext uri="{FF2B5EF4-FFF2-40B4-BE49-F238E27FC236}">
                  <a16:creationId xmlns:a16="http://schemas.microsoft.com/office/drawing/2014/main" id="{1321D727-6F13-0938-6FCF-E706FC0A6D17}"/>
                </a:ext>
              </a:extLst>
            </xdr:cNvPr>
            <xdr:cNvCxnSpPr/>
          </xdr:nvCxnSpPr>
          <xdr:spPr>
            <a:xfrm>
              <a:off x="9144000" y="9906000"/>
              <a:ext cx="2286000" cy="0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" name="Conector recto 119">
              <a:extLst>
                <a:ext uri="{FF2B5EF4-FFF2-40B4-BE49-F238E27FC236}">
                  <a16:creationId xmlns:a16="http://schemas.microsoft.com/office/drawing/2014/main" id="{AEE11282-AE97-AF97-572F-02A4AE821259}"/>
                </a:ext>
              </a:extLst>
            </xdr:cNvPr>
            <xdr:cNvCxnSpPr/>
          </xdr:nvCxnSpPr>
          <xdr:spPr>
            <a:xfrm flipV="1">
              <a:off x="11430000" y="8382000"/>
              <a:ext cx="0" cy="1524000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sp macro="" textlink="">
          <xdr:nvSpPr>
            <xdr:cNvPr id="122" name="Rectángulo 121">
              <a:extLst>
                <a:ext uri="{FF2B5EF4-FFF2-40B4-BE49-F238E27FC236}">
                  <a16:creationId xmlns:a16="http://schemas.microsoft.com/office/drawing/2014/main" id="{42BB8A7D-469E-AF9D-6514-F8B1B2F27F77}"/>
                </a:ext>
              </a:extLst>
            </xdr:cNvPr>
            <xdr:cNvSpPr/>
          </xdr:nvSpPr>
          <xdr:spPr>
            <a:xfrm>
              <a:off x="9144000" y="8382000"/>
              <a:ext cx="228600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7" name="Rectángulo 176">
            <a:extLst>
              <a:ext uri="{FF2B5EF4-FFF2-40B4-BE49-F238E27FC236}">
                <a16:creationId xmlns:a16="http://schemas.microsoft.com/office/drawing/2014/main" id="{1BCBA88C-0C2A-4153-B073-D117242F3DA9}"/>
              </a:ext>
            </a:extLst>
          </xdr:cNvPr>
          <xdr:cNvSpPr/>
        </xdr:nvSpPr>
        <xdr:spPr>
          <a:xfrm>
            <a:off x="25908000" y="13144500"/>
            <a:ext cx="3048000" cy="367755"/>
          </a:xfrm>
          <a:prstGeom prst="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381000</xdr:colOff>
      <xdr:row>22</xdr:row>
      <xdr:rowOff>0</xdr:rowOff>
    </xdr:from>
    <xdr:to>
      <xdr:col>22</xdr:col>
      <xdr:colOff>0</xdr:colOff>
      <xdr:row>46</xdr:row>
      <xdr:rowOff>166453</xdr:rowOff>
    </xdr:to>
    <xdr:cxnSp macro="">
      <xdr:nvCxnSpPr>
        <xdr:cNvPr id="182" name="Conector: angular 181">
          <a:extLst>
            <a:ext uri="{FF2B5EF4-FFF2-40B4-BE49-F238E27FC236}">
              <a16:creationId xmlns:a16="http://schemas.microsoft.com/office/drawing/2014/main" id="{1DFA50EA-9CE7-4683-91A8-C3CBF3C9DB2B}"/>
            </a:ext>
          </a:extLst>
        </xdr:cNvPr>
        <xdr:cNvCxnSpPr>
          <a:stCxn id="65" idx="2"/>
          <a:endCxn id="62" idx="1"/>
        </xdr:cNvCxnSpPr>
      </xdr:nvCxnSpPr>
      <xdr:spPr>
        <a:xfrm rot="5400000" flipH="1" flipV="1">
          <a:off x="13823273" y="5607727"/>
          <a:ext cx="4738453" cy="2667000"/>
        </a:xfrm>
        <a:prstGeom prst="bentConnector4">
          <a:avLst>
            <a:gd name="adj1" fmla="val -8557"/>
            <a:gd name="adj2" fmla="val 71429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502226</xdr:colOff>
      <xdr:row>32</xdr:row>
      <xdr:rowOff>139564</xdr:rowOff>
    </xdr:from>
    <xdr:to>
      <xdr:col>21</xdr:col>
      <xdr:colOff>265931</xdr:colOff>
      <xdr:row>35</xdr:row>
      <xdr:rowOff>90156</xdr:rowOff>
    </xdr:to>
    <xdr:sp macro="" textlink="">
      <xdr:nvSpPr>
        <xdr:cNvPr id="146" name="Diagrama de flujo: decisión 145">
          <a:extLst>
            <a:ext uri="{FF2B5EF4-FFF2-40B4-BE49-F238E27FC236}">
              <a16:creationId xmlns:a16="http://schemas.microsoft.com/office/drawing/2014/main" id="{ECBF1A6E-ACA6-4B0A-97B9-9380DE63CF4C}"/>
            </a:ext>
          </a:extLst>
        </xdr:cNvPr>
        <xdr:cNvSpPr/>
      </xdr:nvSpPr>
      <xdr:spPr>
        <a:xfrm>
          <a:off x="16504226" y="6616564"/>
          <a:ext cx="525705" cy="52209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23</xdr:col>
      <xdr:colOff>381000</xdr:colOff>
      <xdr:row>5</xdr:row>
      <xdr:rowOff>0</xdr:rowOff>
    </xdr:from>
    <xdr:to>
      <xdr:col>23</xdr:col>
      <xdr:colOff>381000</xdr:colOff>
      <xdr:row>18</xdr:row>
      <xdr:rowOff>176893</xdr:rowOff>
    </xdr:to>
    <xdr:cxnSp macro="">
      <xdr:nvCxnSpPr>
        <xdr:cNvPr id="187" name="Conector recto de flecha 186">
          <a:extLst>
            <a:ext uri="{FF2B5EF4-FFF2-40B4-BE49-F238E27FC236}">
              <a16:creationId xmlns:a16="http://schemas.microsoft.com/office/drawing/2014/main" id="{E8EEFCBE-0289-481A-A99E-DAE8D261A268}"/>
            </a:ext>
          </a:extLst>
        </xdr:cNvPr>
        <xdr:cNvCxnSpPr>
          <a:stCxn id="89" idx="0"/>
        </xdr:cNvCxnSpPr>
      </xdr:nvCxnSpPr>
      <xdr:spPr>
        <a:xfrm flipV="1">
          <a:off x="18669000" y="1344706"/>
          <a:ext cx="0" cy="2664599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38</xdr:row>
      <xdr:rowOff>166453</xdr:rowOff>
    </xdr:from>
    <xdr:to>
      <xdr:col>20</xdr:col>
      <xdr:colOff>0</xdr:colOff>
      <xdr:row>46</xdr:row>
      <xdr:rowOff>166453</xdr:rowOff>
    </xdr:to>
    <xdr:grpSp>
      <xdr:nvGrpSpPr>
        <xdr:cNvPr id="192" name="Grupo 191">
          <a:extLst>
            <a:ext uri="{FF2B5EF4-FFF2-40B4-BE49-F238E27FC236}">
              <a16:creationId xmlns:a16="http://schemas.microsoft.com/office/drawing/2014/main" id="{D9B28C73-1709-0B42-CCBF-76DF672FBDC3}"/>
            </a:ext>
          </a:extLst>
        </xdr:cNvPr>
        <xdr:cNvGrpSpPr/>
      </xdr:nvGrpSpPr>
      <xdr:grpSpPr>
        <a:xfrm>
          <a:off x="12296775" y="7681678"/>
          <a:ext cx="2286000" cy="1571625"/>
          <a:chOff x="13716000" y="7831277"/>
          <a:chExt cx="2286000" cy="1524000"/>
        </a:xfrm>
      </xdr:grpSpPr>
      <xdr:grpSp>
        <xdr:nvGrpSpPr>
          <xdr:cNvPr id="66" name="Grupo 65">
            <a:extLst>
              <a:ext uri="{FF2B5EF4-FFF2-40B4-BE49-F238E27FC236}">
                <a16:creationId xmlns:a16="http://schemas.microsoft.com/office/drawing/2014/main" id="{103EFBBB-2BC2-5EE8-3732-146F353B8B77}"/>
              </a:ext>
            </a:extLst>
          </xdr:cNvPr>
          <xdr:cNvGrpSpPr/>
        </xdr:nvGrpSpPr>
        <xdr:grpSpPr>
          <a:xfrm>
            <a:off x="13716000" y="7831277"/>
            <a:ext cx="2286000" cy="1524000"/>
            <a:chOff x="9906000" y="13144500"/>
            <a:chExt cx="2286000" cy="1524000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221F4C89-B553-8BE3-6F03-2B39D8317711}"/>
                </a:ext>
              </a:extLst>
            </xdr:cNvPr>
            <xdr:cNvGrpSpPr/>
          </xdr:nvGrpSpPr>
          <xdr:grpSpPr>
            <a:xfrm>
              <a:off x="9906000" y="13144500"/>
              <a:ext cx="2286000" cy="1524000"/>
              <a:chOff x="9144000" y="8382000"/>
              <a:chExt cx="2286000" cy="1524000"/>
            </a:xfrm>
          </xdr:grpSpPr>
          <xdr:cxnSp macro="">
            <xdr:nvCxnSpPr>
              <xdr:cNvPr id="10" name="Conector recto 9">
                <a:extLst>
                  <a:ext uri="{FF2B5EF4-FFF2-40B4-BE49-F238E27FC236}">
                    <a16:creationId xmlns:a16="http://schemas.microsoft.com/office/drawing/2014/main" id="{227A5FE9-B644-0173-DE97-DEA5D9BAC428}"/>
                  </a:ext>
                </a:extLst>
              </xdr:cNvPr>
              <xdr:cNvCxnSpPr/>
            </xdr:nvCxnSpPr>
            <xdr:spPr>
              <a:xfrm>
                <a:off x="9144000" y="8382000"/>
                <a:ext cx="0" cy="1524000"/>
              </a:xfrm>
              <a:prstGeom prst="line">
                <a:avLst/>
              </a:prstGeom>
              <a:ln w="1905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2" name="Conector recto 11">
                <a:extLst>
                  <a:ext uri="{FF2B5EF4-FFF2-40B4-BE49-F238E27FC236}">
                    <a16:creationId xmlns:a16="http://schemas.microsoft.com/office/drawing/2014/main" id="{99A7C960-723B-415A-AA28-75B8E07A0575}"/>
                  </a:ext>
                </a:extLst>
              </xdr:cNvPr>
              <xdr:cNvCxnSpPr/>
            </xdr:nvCxnSpPr>
            <xdr:spPr>
              <a:xfrm>
                <a:off x="9144000" y="9906000"/>
                <a:ext cx="2286000" cy="0"/>
              </a:xfrm>
              <a:prstGeom prst="line">
                <a:avLst/>
              </a:prstGeom>
              <a:ln w="1905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Conector recto 14">
                <a:extLst>
                  <a:ext uri="{FF2B5EF4-FFF2-40B4-BE49-F238E27FC236}">
                    <a16:creationId xmlns:a16="http://schemas.microsoft.com/office/drawing/2014/main" id="{0822D7EB-6EF3-4253-BC00-9CB3EC72AE26}"/>
                  </a:ext>
                </a:extLst>
              </xdr:cNvPr>
              <xdr:cNvCxnSpPr/>
            </xdr:nvCxnSpPr>
            <xdr:spPr>
              <a:xfrm flipV="1">
                <a:off x="11430000" y="8382000"/>
                <a:ext cx="0" cy="1524000"/>
              </a:xfrm>
              <a:prstGeom prst="line">
                <a:avLst/>
              </a:prstGeom>
              <a:ln w="1905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5" name="Rectángulo 34">
                <a:extLst>
                  <a:ext uri="{FF2B5EF4-FFF2-40B4-BE49-F238E27FC236}">
                    <a16:creationId xmlns:a16="http://schemas.microsoft.com/office/drawing/2014/main" id="{9D215333-4F1E-4777-B59A-46BC312562EF}"/>
                  </a:ext>
                </a:extLst>
              </xdr:cNvPr>
              <xdr:cNvSpPr/>
            </xdr:nvSpPr>
            <xdr:spPr>
              <a:xfrm>
                <a:off x="9906000" y="8382000"/>
                <a:ext cx="1524000" cy="19050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33" name="Rectángulo 32">
                <a:extLst>
                  <a:ext uri="{FF2B5EF4-FFF2-40B4-BE49-F238E27FC236}">
                    <a16:creationId xmlns:a16="http://schemas.microsoft.com/office/drawing/2014/main" id="{67892E47-B43D-26C5-9BF1-D58B286ECF01}"/>
                  </a:ext>
                </a:extLst>
              </xdr:cNvPr>
              <xdr:cNvSpPr/>
            </xdr:nvSpPr>
            <xdr:spPr>
              <a:xfrm>
                <a:off x="9144000" y="8382000"/>
                <a:ext cx="1524000" cy="19050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65" name="Rectángulo 64">
              <a:extLst>
                <a:ext uri="{FF2B5EF4-FFF2-40B4-BE49-F238E27FC236}">
                  <a16:creationId xmlns:a16="http://schemas.microsoft.com/office/drawing/2014/main" id="{5A8795D2-2044-4D26-836D-F1CF68394263}"/>
                </a:ext>
              </a:extLst>
            </xdr:cNvPr>
            <xdr:cNvSpPr/>
          </xdr:nvSpPr>
          <xdr:spPr>
            <a:xfrm>
              <a:off x="9906000" y="14287500"/>
              <a:ext cx="2286000" cy="381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91" name="Rectángulo 190">
            <a:extLst>
              <a:ext uri="{FF2B5EF4-FFF2-40B4-BE49-F238E27FC236}">
                <a16:creationId xmlns:a16="http://schemas.microsoft.com/office/drawing/2014/main" id="{0B6EE289-481F-477C-A60B-2D4D3A4A8EE6}"/>
              </a:ext>
            </a:extLst>
          </xdr:cNvPr>
          <xdr:cNvSpPr/>
        </xdr:nvSpPr>
        <xdr:spPr>
          <a:xfrm>
            <a:off x="15240000" y="7855324"/>
            <a:ext cx="761999" cy="2227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112056</xdr:colOff>
      <xdr:row>10</xdr:row>
      <xdr:rowOff>111917</xdr:rowOff>
    </xdr:from>
    <xdr:to>
      <xdr:col>23</xdr:col>
      <xdr:colOff>637761</xdr:colOff>
      <xdr:row>13</xdr:row>
      <xdr:rowOff>79827</xdr:rowOff>
    </xdr:to>
    <xdr:sp macro="" textlink="">
      <xdr:nvSpPr>
        <xdr:cNvPr id="195" name="Diagrama de flujo: decisión 194">
          <a:extLst>
            <a:ext uri="{FF2B5EF4-FFF2-40B4-BE49-F238E27FC236}">
              <a16:creationId xmlns:a16="http://schemas.microsoft.com/office/drawing/2014/main" id="{49C40DA5-335D-4954-9547-E6EBD51AF71B}"/>
            </a:ext>
          </a:extLst>
        </xdr:cNvPr>
        <xdr:cNvSpPr/>
      </xdr:nvSpPr>
      <xdr:spPr>
        <a:xfrm>
          <a:off x="18400056" y="2414482"/>
          <a:ext cx="525705" cy="539410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357862</xdr:colOff>
      <xdr:row>7</xdr:row>
      <xdr:rowOff>0</xdr:rowOff>
    </xdr:from>
    <xdr:to>
      <xdr:col>4</xdr:col>
      <xdr:colOff>357862</xdr:colOff>
      <xdr:row>7</xdr:row>
      <xdr:rowOff>124239</xdr:rowOff>
    </xdr:to>
    <xdr:cxnSp macro="">
      <xdr:nvCxnSpPr>
        <xdr:cNvPr id="198" name="Conector recto 197">
          <a:extLst>
            <a:ext uri="{FF2B5EF4-FFF2-40B4-BE49-F238E27FC236}">
              <a16:creationId xmlns:a16="http://schemas.microsoft.com/office/drawing/2014/main" id="{76DAC248-7576-447B-9A37-00F773758131}"/>
            </a:ext>
          </a:extLst>
        </xdr:cNvPr>
        <xdr:cNvCxnSpPr>
          <a:stCxn id="140" idx="0"/>
        </xdr:cNvCxnSpPr>
      </xdr:nvCxnSpPr>
      <xdr:spPr>
        <a:xfrm flipV="1">
          <a:off x="4167862" y="1736912"/>
          <a:ext cx="0" cy="124239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357862</xdr:colOff>
      <xdr:row>36</xdr:row>
      <xdr:rowOff>0</xdr:rowOff>
    </xdr:from>
    <xdr:to>
      <xdr:col>4</xdr:col>
      <xdr:colOff>357862</xdr:colOff>
      <xdr:row>36</xdr:row>
      <xdr:rowOff>128504</xdr:rowOff>
    </xdr:to>
    <xdr:cxnSp macro="">
      <xdr:nvCxnSpPr>
        <xdr:cNvPr id="201" name="Conector recto 200">
          <a:extLst>
            <a:ext uri="{FF2B5EF4-FFF2-40B4-BE49-F238E27FC236}">
              <a16:creationId xmlns:a16="http://schemas.microsoft.com/office/drawing/2014/main" id="{846E4B70-F52C-4C73-B9FE-D0777CB78681}"/>
            </a:ext>
          </a:extLst>
        </xdr:cNvPr>
        <xdr:cNvCxnSpPr/>
      </xdr:nvCxnSpPr>
      <xdr:spPr>
        <a:xfrm flipV="1">
          <a:off x="4167862" y="7384676"/>
          <a:ext cx="0" cy="128504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499148</xdr:colOff>
      <xdr:row>33</xdr:row>
      <xdr:rowOff>0</xdr:rowOff>
    </xdr:from>
    <xdr:to>
      <xdr:col>12</xdr:col>
      <xdr:colOff>499148</xdr:colOff>
      <xdr:row>33</xdr:row>
      <xdr:rowOff>112059</xdr:rowOff>
    </xdr:to>
    <xdr:cxnSp macro="">
      <xdr:nvCxnSpPr>
        <xdr:cNvPr id="204" name="Conector recto 203">
          <a:extLst>
            <a:ext uri="{FF2B5EF4-FFF2-40B4-BE49-F238E27FC236}">
              <a16:creationId xmlns:a16="http://schemas.microsoft.com/office/drawing/2014/main" id="{6BD0C417-0C49-44BB-B252-06EE4081318F}"/>
            </a:ext>
          </a:extLst>
        </xdr:cNvPr>
        <xdr:cNvCxnSpPr>
          <a:stCxn id="142" idx="0"/>
        </xdr:cNvCxnSpPr>
      </xdr:nvCxnSpPr>
      <xdr:spPr>
        <a:xfrm flipV="1">
          <a:off x="10405148" y="6790765"/>
          <a:ext cx="0" cy="112059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45</xdr:row>
      <xdr:rowOff>20120</xdr:rowOff>
    </xdr:from>
    <xdr:to>
      <xdr:col>15</xdr:col>
      <xdr:colOff>502170</xdr:colOff>
      <xdr:row>45</xdr:row>
      <xdr:rowOff>20120</xdr:rowOff>
    </xdr:to>
    <xdr:cxnSp macro="">
      <xdr:nvCxnSpPr>
        <xdr:cNvPr id="207" name="Conector recto 206">
          <a:extLst>
            <a:ext uri="{FF2B5EF4-FFF2-40B4-BE49-F238E27FC236}">
              <a16:creationId xmlns:a16="http://schemas.microsoft.com/office/drawing/2014/main" id="{AEA9378B-E0C8-4E22-9B20-09FFF145EA60}"/>
            </a:ext>
          </a:extLst>
        </xdr:cNvPr>
        <xdr:cNvCxnSpPr>
          <a:endCxn id="174" idx="1"/>
        </xdr:cNvCxnSpPr>
      </xdr:nvCxnSpPr>
      <xdr:spPr>
        <a:xfrm>
          <a:off x="12192000" y="9141708"/>
          <a:ext cx="502170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342910</xdr:colOff>
      <xdr:row>57</xdr:row>
      <xdr:rowOff>67235</xdr:rowOff>
    </xdr:from>
    <xdr:to>
      <xdr:col>9</xdr:col>
      <xdr:colOff>342910</xdr:colOff>
      <xdr:row>58</xdr:row>
      <xdr:rowOff>0</xdr:rowOff>
    </xdr:to>
    <xdr:cxnSp macro="">
      <xdr:nvCxnSpPr>
        <xdr:cNvPr id="213" name="Conector recto 212">
          <a:extLst>
            <a:ext uri="{FF2B5EF4-FFF2-40B4-BE49-F238E27FC236}">
              <a16:creationId xmlns:a16="http://schemas.microsoft.com/office/drawing/2014/main" id="{472A28B4-6F54-4200-B8F2-A5B3439C8F97}"/>
            </a:ext>
          </a:extLst>
        </xdr:cNvPr>
        <xdr:cNvCxnSpPr>
          <a:stCxn id="143" idx="2"/>
        </xdr:cNvCxnSpPr>
      </xdr:nvCxnSpPr>
      <xdr:spPr>
        <a:xfrm>
          <a:off x="7962910" y="11497235"/>
          <a:ext cx="0" cy="134471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265931</xdr:colOff>
      <xdr:row>34</xdr:row>
      <xdr:rowOff>26852</xdr:rowOff>
    </xdr:from>
    <xdr:to>
      <xdr:col>22</xdr:col>
      <xdr:colOff>0</xdr:colOff>
      <xdr:row>34</xdr:row>
      <xdr:rowOff>26852</xdr:rowOff>
    </xdr:to>
    <xdr:cxnSp macro="">
      <xdr:nvCxnSpPr>
        <xdr:cNvPr id="216" name="Conector recto 215">
          <a:extLst>
            <a:ext uri="{FF2B5EF4-FFF2-40B4-BE49-F238E27FC236}">
              <a16:creationId xmlns:a16="http://schemas.microsoft.com/office/drawing/2014/main" id="{9115A0A0-4A81-4B30-BF47-B76FD4B16CCF}"/>
            </a:ext>
          </a:extLst>
        </xdr:cNvPr>
        <xdr:cNvCxnSpPr/>
      </xdr:nvCxnSpPr>
      <xdr:spPr>
        <a:xfrm>
          <a:off x="17029931" y="7008117"/>
          <a:ext cx="496069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12</xdr:row>
      <xdr:rowOff>0</xdr:rowOff>
    </xdr:from>
    <xdr:to>
      <xdr:col>23</xdr:col>
      <xdr:colOff>112056</xdr:colOff>
      <xdr:row>12</xdr:row>
      <xdr:rowOff>622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E4C2297B-BA07-44D1-BAC7-806724430FC2}"/>
            </a:ext>
          </a:extLst>
        </xdr:cNvPr>
        <xdr:cNvCxnSpPr>
          <a:stCxn id="195" idx="1"/>
        </xdr:cNvCxnSpPr>
      </xdr:nvCxnSpPr>
      <xdr:spPr>
        <a:xfrm flipH="1" flipV="1">
          <a:off x="18288000" y="2700618"/>
          <a:ext cx="112056" cy="62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620662</xdr:colOff>
      <xdr:row>20</xdr:row>
      <xdr:rowOff>0</xdr:rowOff>
    </xdr:from>
    <xdr:to>
      <xdr:col>27</xdr:col>
      <xdr:colOff>620662</xdr:colOff>
      <xdr:row>20</xdr:row>
      <xdr:rowOff>132522</xdr:rowOff>
    </xdr:to>
    <xdr:cxnSp macro="">
      <xdr:nvCxnSpPr>
        <xdr:cNvPr id="222" name="Conector recto 221">
          <a:extLst>
            <a:ext uri="{FF2B5EF4-FFF2-40B4-BE49-F238E27FC236}">
              <a16:creationId xmlns:a16="http://schemas.microsoft.com/office/drawing/2014/main" id="{EBAEB954-307F-4399-ACEC-25E7E395E813}"/>
            </a:ext>
          </a:extLst>
        </xdr:cNvPr>
        <xdr:cNvCxnSpPr>
          <a:stCxn id="147" idx="0"/>
        </xdr:cNvCxnSpPr>
      </xdr:nvCxnSpPr>
      <xdr:spPr>
        <a:xfrm flipV="1">
          <a:off x="21956662" y="4258235"/>
          <a:ext cx="0" cy="13252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29</xdr:row>
      <xdr:rowOff>56373</xdr:rowOff>
    </xdr:from>
    <xdr:to>
      <xdr:col>31</xdr:col>
      <xdr:colOff>123170</xdr:colOff>
      <xdr:row>29</xdr:row>
      <xdr:rowOff>56373</xdr:rowOff>
    </xdr:to>
    <xdr:cxnSp macro="">
      <xdr:nvCxnSpPr>
        <xdr:cNvPr id="225" name="Conector recto 224">
          <a:extLst>
            <a:ext uri="{FF2B5EF4-FFF2-40B4-BE49-F238E27FC236}">
              <a16:creationId xmlns:a16="http://schemas.microsoft.com/office/drawing/2014/main" id="{E0BB4702-413C-4349-A431-B11363027EBE}"/>
            </a:ext>
          </a:extLst>
        </xdr:cNvPr>
        <xdr:cNvCxnSpPr>
          <a:stCxn id="148" idx="1"/>
        </xdr:cNvCxnSpPr>
      </xdr:nvCxnSpPr>
      <xdr:spPr>
        <a:xfrm flipH="1">
          <a:off x="24384000" y="6051520"/>
          <a:ext cx="123170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648875</xdr:colOff>
      <xdr:row>44</xdr:row>
      <xdr:rowOff>51403</xdr:rowOff>
    </xdr:from>
    <xdr:to>
      <xdr:col>32</xdr:col>
      <xdr:colOff>0</xdr:colOff>
      <xdr:row>44</xdr:row>
      <xdr:rowOff>51403</xdr:rowOff>
    </xdr:to>
    <xdr:cxnSp macro="">
      <xdr:nvCxnSpPr>
        <xdr:cNvPr id="228" name="Conector recto 227">
          <a:extLst>
            <a:ext uri="{FF2B5EF4-FFF2-40B4-BE49-F238E27FC236}">
              <a16:creationId xmlns:a16="http://schemas.microsoft.com/office/drawing/2014/main" id="{2D2A623F-95F2-4C38-94F5-ECB16D3604D7}"/>
            </a:ext>
          </a:extLst>
        </xdr:cNvPr>
        <xdr:cNvCxnSpPr>
          <a:stCxn id="149" idx="3"/>
        </xdr:cNvCxnSpPr>
      </xdr:nvCxnSpPr>
      <xdr:spPr>
        <a:xfrm>
          <a:off x="25032875" y="8982491"/>
          <a:ext cx="113125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499148</xdr:colOff>
      <xdr:row>35</xdr:row>
      <xdr:rowOff>0</xdr:rowOff>
    </xdr:from>
    <xdr:to>
      <xdr:col>35</xdr:col>
      <xdr:colOff>499148</xdr:colOff>
      <xdr:row>35</xdr:row>
      <xdr:rowOff>131134</xdr:rowOff>
    </xdr:to>
    <xdr:cxnSp macro="">
      <xdr:nvCxnSpPr>
        <xdr:cNvPr id="231" name="Conector recto 230">
          <a:extLst>
            <a:ext uri="{FF2B5EF4-FFF2-40B4-BE49-F238E27FC236}">
              <a16:creationId xmlns:a16="http://schemas.microsoft.com/office/drawing/2014/main" id="{AC5085E4-9EDE-4B3D-A0EF-44046BA384B0}"/>
            </a:ext>
          </a:extLst>
        </xdr:cNvPr>
        <xdr:cNvCxnSpPr>
          <a:endCxn id="151" idx="0"/>
        </xdr:cNvCxnSpPr>
      </xdr:nvCxnSpPr>
      <xdr:spPr>
        <a:xfrm>
          <a:off x="27931148" y="7182971"/>
          <a:ext cx="0" cy="131134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461048</xdr:colOff>
      <xdr:row>57</xdr:row>
      <xdr:rowOff>77175</xdr:rowOff>
    </xdr:from>
    <xdr:to>
      <xdr:col>41</xdr:col>
      <xdr:colOff>461048</xdr:colOff>
      <xdr:row>58</xdr:row>
      <xdr:rowOff>0</xdr:rowOff>
    </xdr:to>
    <xdr:cxnSp macro="">
      <xdr:nvCxnSpPr>
        <xdr:cNvPr id="234" name="Conector recto 233">
          <a:extLst>
            <a:ext uri="{FF2B5EF4-FFF2-40B4-BE49-F238E27FC236}">
              <a16:creationId xmlns:a16="http://schemas.microsoft.com/office/drawing/2014/main" id="{3175ADB8-4763-416F-ADB8-3C9F29845C3E}"/>
            </a:ext>
          </a:extLst>
        </xdr:cNvPr>
        <xdr:cNvCxnSpPr>
          <a:stCxn id="152" idx="2"/>
        </xdr:cNvCxnSpPr>
      </xdr:nvCxnSpPr>
      <xdr:spPr>
        <a:xfrm>
          <a:off x="32465048" y="11507175"/>
          <a:ext cx="0" cy="124531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381000</xdr:colOff>
      <xdr:row>5</xdr:row>
      <xdr:rowOff>0</xdr:rowOff>
    </xdr:from>
    <xdr:to>
      <xdr:col>31</xdr:col>
      <xdr:colOff>381000</xdr:colOff>
      <xdr:row>18</xdr:row>
      <xdr:rowOff>176893</xdr:rowOff>
    </xdr:to>
    <xdr:cxnSp macro="">
      <xdr:nvCxnSpPr>
        <xdr:cNvPr id="238" name="Conector recto de flecha 237">
          <a:extLst>
            <a:ext uri="{FF2B5EF4-FFF2-40B4-BE49-F238E27FC236}">
              <a16:creationId xmlns:a16="http://schemas.microsoft.com/office/drawing/2014/main" id="{AB31E1A2-0281-49D9-837B-2FD33C2D35CD}"/>
            </a:ext>
          </a:extLst>
        </xdr:cNvPr>
        <xdr:cNvCxnSpPr>
          <a:stCxn id="115" idx="0"/>
        </xdr:cNvCxnSpPr>
      </xdr:nvCxnSpPr>
      <xdr:spPr>
        <a:xfrm flipV="1">
          <a:off x="24765000" y="1344706"/>
          <a:ext cx="0" cy="2698216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112056</xdr:colOff>
      <xdr:row>10</xdr:row>
      <xdr:rowOff>111917</xdr:rowOff>
    </xdr:from>
    <xdr:to>
      <xdr:col>31</xdr:col>
      <xdr:colOff>637761</xdr:colOff>
      <xdr:row>13</xdr:row>
      <xdr:rowOff>79827</xdr:rowOff>
    </xdr:to>
    <xdr:sp macro="" textlink="">
      <xdr:nvSpPr>
        <xdr:cNvPr id="239" name="Diagrama de flujo: decisión 238">
          <a:extLst>
            <a:ext uri="{FF2B5EF4-FFF2-40B4-BE49-F238E27FC236}">
              <a16:creationId xmlns:a16="http://schemas.microsoft.com/office/drawing/2014/main" id="{13A59E48-FA5D-4780-BC32-675B90A2B0A5}"/>
            </a:ext>
          </a:extLst>
        </xdr:cNvPr>
        <xdr:cNvSpPr/>
      </xdr:nvSpPr>
      <xdr:spPr>
        <a:xfrm>
          <a:off x="24496056" y="2431535"/>
          <a:ext cx="525705" cy="539410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31</xdr:col>
      <xdr:colOff>637761</xdr:colOff>
      <xdr:row>12</xdr:row>
      <xdr:rowOff>0</xdr:rowOff>
    </xdr:from>
    <xdr:to>
      <xdr:col>32</xdr:col>
      <xdr:colOff>0</xdr:colOff>
      <xdr:row>12</xdr:row>
      <xdr:rowOff>622</xdr:rowOff>
    </xdr:to>
    <xdr:cxnSp macro="">
      <xdr:nvCxnSpPr>
        <xdr:cNvPr id="241" name="Conector recto 240">
          <a:extLst>
            <a:ext uri="{FF2B5EF4-FFF2-40B4-BE49-F238E27FC236}">
              <a16:creationId xmlns:a16="http://schemas.microsoft.com/office/drawing/2014/main" id="{0C930BAB-AEF7-477D-AE14-B0D1E431269B}"/>
            </a:ext>
          </a:extLst>
        </xdr:cNvPr>
        <xdr:cNvCxnSpPr>
          <a:stCxn id="239" idx="3"/>
        </xdr:cNvCxnSpPr>
      </xdr:nvCxnSpPr>
      <xdr:spPr>
        <a:xfrm flipV="1">
          <a:off x="25021761" y="2700618"/>
          <a:ext cx="124239" cy="62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376859</xdr:colOff>
      <xdr:row>58</xdr:row>
      <xdr:rowOff>190499</xdr:rowOff>
    </xdr:from>
    <xdr:to>
      <xdr:col>13</xdr:col>
      <xdr:colOff>376859</xdr:colOff>
      <xdr:row>60</xdr:row>
      <xdr:rowOff>0</xdr:rowOff>
    </xdr:to>
    <xdr:cxnSp macro="">
      <xdr:nvCxnSpPr>
        <xdr:cNvPr id="244" name="Conector recto 243">
          <a:extLst>
            <a:ext uri="{FF2B5EF4-FFF2-40B4-BE49-F238E27FC236}">
              <a16:creationId xmlns:a16="http://schemas.microsoft.com/office/drawing/2014/main" id="{4F73210F-A567-4DF9-99D1-2689900BE23F}"/>
            </a:ext>
          </a:extLst>
        </xdr:cNvPr>
        <xdr:cNvCxnSpPr>
          <a:endCxn id="73" idx="2"/>
        </xdr:cNvCxnSpPr>
      </xdr:nvCxnSpPr>
      <xdr:spPr>
        <a:xfrm flipV="1">
          <a:off x="11044859" y="11822205"/>
          <a:ext cx="0" cy="201707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22</xdr:row>
      <xdr:rowOff>0</xdr:rowOff>
    </xdr:from>
    <xdr:to>
      <xdr:col>34</xdr:col>
      <xdr:colOff>0</xdr:colOff>
      <xdr:row>22</xdr:row>
      <xdr:rowOff>0</xdr:rowOff>
    </xdr:to>
    <xdr:cxnSp macro="">
      <xdr:nvCxnSpPr>
        <xdr:cNvPr id="249" name="Conector recto 248">
          <a:extLst>
            <a:ext uri="{FF2B5EF4-FFF2-40B4-BE49-F238E27FC236}">
              <a16:creationId xmlns:a16="http://schemas.microsoft.com/office/drawing/2014/main" id="{5342C1F9-B00C-4034-AFF9-E3246DA3985F}"/>
            </a:ext>
          </a:extLst>
        </xdr:cNvPr>
        <xdr:cNvCxnSpPr/>
      </xdr:nvCxnSpPr>
      <xdr:spPr>
        <a:xfrm>
          <a:off x="25908000" y="4650441"/>
          <a:ext cx="762000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37</xdr:row>
      <xdr:rowOff>8842</xdr:rowOff>
    </xdr:from>
    <xdr:to>
      <xdr:col>30</xdr:col>
      <xdr:colOff>0</xdr:colOff>
      <xdr:row>44</xdr:row>
      <xdr:rowOff>0</xdr:rowOff>
    </xdr:to>
    <xdr:cxnSp macro="">
      <xdr:nvCxnSpPr>
        <xdr:cNvPr id="252" name="Conector: angular 251">
          <a:extLst>
            <a:ext uri="{FF2B5EF4-FFF2-40B4-BE49-F238E27FC236}">
              <a16:creationId xmlns:a16="http://schemas.microsoft.com/office/drawing/2014/main" id="{1A2C9E9C-9653-E91C-B515-94F1A3DE5562}"/>
            </a:ext>
          </a:extLst>
        </xdr:cNvPr>
        <xdr:cNvCxnSpPr>
          <a:stCxn id="116" idx="1"/>
        </xdr:cNvCxnSpPr>
      </xdr:nvCxnSpPr>
      <xdr:spPr>
        <a:xfrm rot="10800000" flipV="1">
          <a:off x="21336000" y="7628842"/>
          <a:ext cx="2286000" cy="1358276"/>
        </a:xfrm>
        <a:prstGeom prst="bentConnector3">
          <a:avLst>
            <a:gd name="adj1" fmla="val 99510"/>
          </a:avLst>
        </a:prstGeom>
        <a:ln w="19050">
          <a:solidFill>
            <a:schemeClr val="tx1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95009</xdr:colOff>
      <xdr:row>8</xdr:row>
      <xdr:rowOff>0</xdr:rowOff>
    </xdr:from>
    <xdr:to>
      <xdr:col>4</xdr:col>
      <xdr:colOff>620714</xdr:colOff>
      <xdr:row>9</xdr:row>
      <xdr:rowOff>192901</xdr:rowOff>
    </xdr:to>
    <xdr:sp macro="" textlink="">
      <xdr:nvSpPr>
        <xdr:cNvPr id="255" name="CuadroTexto 254">
          <a:extLst>
            <a:ext uri="{FF2B5EF4-FFF2-40B4-BE49-F238E27FC236}">
              <a16:creationId xmlns:a16="http://schemas.microsoft.com/office/drawing/2014/main" id="{B565CA56-33EC-4CF7-8066-2E776BC55D8A}"/>
            </a:ext>
          </a:extLst>
        </xdr:cNvPr>
        <xdr:cNvSpPr txBox="1"/>
      </xdr:nvSpPr>
      <xdr:spPr>
        <a:xfrm>
          <a:off x="3905009" y="1927412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</a:t>
          </a:r>
        </a:p>
      </xdr:txBody>
    </xdr:sp>
    <xdr:clientData/>
  </xdr:twoCellAnchor>
  <xdr:twoCellAnchor>
    <xdr:from>
      <xdr:col>12</xdr:col>
      <xdr:colOff>236295</xdr:colOff>
      <xdr:row>34</xdr:row>
      <xdr:rowOff>2492</xdr:rowOff>
    </xdr:from>
    <xdr:to>
      <xdr:col>13</xdr:col>
      <xdr:colOff>0</xdr:colOff>
      <xdr:row>35</xdr:row>
      <xdr:rowOff>184187</xdr:rowOff>
    </xdr:to>
    <xdr:sp macro="" textlink="">
      <xdr:nvSpPr>
        <xdr:cNvPr id="256" name="CuadroTexto 255">
          <a:extLst>
            <a:ext uri="{FF2B5EF4-FFF2-40B4-BE49-F238E27FC236}">
              <a16:creationId xmlns:a16="http://schemas.microsoft.com/office/drawing/2014/main" id="{70207675-88F4-4723-AF06-4EC3CC2B5BD5}"/>
            </a:ext>
          </a:extLst>
        </xdr:cNvPr>
        <xdr:cNvSpPr txBox="1"/>
      </xdr:nvSpPr>
      <xdr:spPr>
        <a:xfrm>
          <a:off x="10142295" y="7028580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2</a:t>
          </a:r>
        </a:p>
      </xdr:txBody>
    </xdr:sp>
    <xdr:clientData/>
  </xdr:twoCellAnchor>
  <xdr:twoCellAnchor>
    <xdr:from>
      <xdr:col>4</xdr:col>
      <xdr:colOff>90868</xdr:colOff>
      <xdr:row>37</xdr:row>
      <xdr:rowOff>0</xdr:rowOff>
    </xdr:from>
    <xdr:to>
      <xdr:col>4</xdr:col>
      <xdr:colOff>616573</xdr:colOff>
      <xdr:row>39</xdr:row>
      <xdr:rowOff>2401</xdr:rowOff>
    </xdr:to>
    <xdr:sp macro="" textlink="">
      <xdr:nvSpPr>
        <xdr:cNvPr id="257" name="CuadroTexto 256">
          <a:extLst>
            <a:ext uri="{FF2B5EF4-FFF2-40B4-BE49-F238E27FC236}">
              <a16:creationId xmlns:a16="http://schemas.microsoft.com/office/drawing/2014/main" id="{7D40BD0C-26DD-4337-8115-F1F480D93D27}"/>
            </a:ext>
          </a:extLst>
        </xdr:cNvPr>
        <xdr:cNvSpPr txBox="1"/>
      </xdr:nvSpPr>
      <xdr:spPr>
        <a:xfrm>
          <a:off x="3900868" y="7620000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3</a:t>
          </a:r>
        </a:p>
      </xdr:txBody>
    </xdr:sp>
    <xdr:clientData/>
  </xdr:twoCellAnchor>
  <xdr:twoCellAnchor>
    <xdr:from>
      <xdr:col>9</xdr:col>
      <xdr:colOff>80057</xdr:colOff>
      <xdr:row>54</xdr:row>
      <xdr:rowOff>176893</xdr:rowOff>
    </xdr:from>
    <xdr:to>
      <xdr:col>9</xdr:col>
      <xdr:colOff>605762</xdr:colOff>
      <xdr:row>56</xdr:row>
      <xdr:rowOff>179294</xdr:rowOff>
    </xdr:to>
    <xdr:sp macro="" textlink="">
      <xdr:nvSpPr>
        <xdr:cNvPr id="258" name="CuadroTexto 257">
          <a:extLst>
            <a:ext uri="{FF2B5EF4-FFF2-40B4-BE49-F238E27FC236}">
              <a16:creationId xmlns:a16="http://schemas.microsoft.com/office/drawing/2014/main" id="{907FBC64-324C-448D-8C02-1907B4B17CDB}"/>
            </a:ext>
          </a:extLst>
        </xdr:cNvPr>
        <xdr:cNvSpPr txBox="1"/>
      </xdr:nvSpPr>
      <xdr:spPr>
        <a:xfrm>
          <a:off x="7700057" y="11113834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4</a:t>
          </a:r>
        </a:p>
      </xdr:txBody>
    </xdr:sp>
    <xdr:clientData/>
  </xdr:twoCellAnchor>
  <xdr:twoCellAnchor>
    <xdr:from>
      <xdr:col>15</xdr:col>
      <xdr:colOff>502170</xdr:colOff>
      <xdr:row>43</xdr:row>
      <xdr:rowOff>134472</xdr:rowOff>
    </xdr:from>
    <xdr:to>
      <xdr:col>16</xdr:col>
      <xdr:colOff>265875</xdr:colOff>
      <xdr:row>46</xdr:row>
      <xdr:rowOff>85063</xdr:rowOff>
    </xdr:to>
    <xdr:sp macro="" textlink="">
      <xdr:nvSpPr>
        <xdr:cNvPr id="259" name="CuadroTexto 258">
          <a:extLst>
            <a:ext uri="{FF2B5EF4-FFF2-40B4-BE49-F238E27FC236}">
              <a16:creationId xmlns:a16="http://schemas.microsoft.com/office/drawing/2014/main" id="{6981E8CC-CC07-452F-939C-4A8315BED3AF}"/>
            </a:ext>
          </a:extLst>
        </xdr:cNvPr>
        <xdr:cNvSpPr txBox="1"/>
      </xdr:nvSpPr>
      <xdr:spPr>
        <a:xfrm>
          <a:off x="12694170" y="8919884"/>
          <a:ext cx="525705" cy="5557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5</a:t>
          </a:r>
        </a:p>
      </xdr:txBody>
    </xdr:sp>
    <xdr:clientData/>
  </xdr:twoCellAnchor>
  <xdr:twoCellAnchor>
    <xdr:from>
      <xdr:col>20</xdr:col>
      <xdr:colOff>502226</xdr:colOff>
      <xdr:row>33</xdr:row>
      <xdr:rowOff>8805</xdr:rowOff>
    </xdr:from>
    <xdr:to>
      <xdr:col>21</xdr:col>
      <xdr:colOff>265931</xdr:colOff>
      <xdr:row>35</xdr:row>
      <xdr:rowOff>0</xdr:rowOff>
    </xdr:to>
    <xdr:sp macro="" textlink="">
      <xdr:nvSpPr>
        <xdr:cNvPr id="260" name="CuadroTexto 259">
          <a:extLst>
            <a:ext uri="{FF2B5EF4-FFF2-40B4-BE49-F238E27FC236}">
              <a16:creationId xmlns:a16="http://schemas.microsoft.com/office/drawing/2014/main" id="{40F676A5-AA20-4794-995A-0430885F7A23}"/>
            </a:ext>
          </a:extLst>
        </xdr:cNvPr>
        <xdr:cNvSpPr txBox="1"/>
      </xdr:nvSpPr>
      <xdr:spPr>
        <a:xfrm>
          <a:off x="16504226" y="6844393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6</a:t>
          </a:r>
        </a:p>
      </xdr:txBody>
    </xdr:sp>
    <xdr:clientData/>
  </xdr:twoCellAnchor>
  <xdr:twoCellAnchor>
    <xdr:from>
      <xdr:col>27</xdr:col>
      <xdr:colOff>357809</xdr:colOff>
      <xdr:row>21</xdr:row>
      <xdr:rowOff>0</xdr:rowOff>
    </xdr:from>
    <xdr:to>
      <xdr:col>28</xdr:col>
      <xdr:colOff>121514</xdr:colOff>
      <xdr:row>23</xdr:row>
      <xdr:rowOff>2401</xdr:rowOff>
    </xdr:to>
    <xdr:sp macro="" textlink="">
      <xdr:nvSpPr>
        <xdr:cNvPr id="261" name="CuadroTexto 260">
          <a:extLst>
            <a:ext uri="{FF2B5EF4-FFF2-40B4-BE49-F238E27FC236}">
              <a16:creationId xmlns:a16="http://schemas.microsoft.com/office/drawing/2014/main" id="{FCCDA7A5-2097-4F93-98E2-9DE244E04A7F}"/>
            </a:ext>
          </a:extLst>
        </xdr:cNvPr>
        <xdr:cNvSpPr txBox="1"/>
      </xdr:nvSpPr>
      <xdr:spPr>
        <a:xfrm>
          <a:off x="21693809" y="4459941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8</a:t>
          </a:r>
        </a:p>
      </xdr:txBody>
    </xdr:sp>
    <xdr:clientData/>
  </xdr:twoCellAnchor>
  <xdr:twoCellAnchor>
    <xdr:from>
      <xdr:col>23</xdr:col>
      <xdr:colOff>112056</xdr:colOff>
      <xdr:row>11</xdr:row>
      <xdr:rowOff>0</xdr:rowOff>
    </xdr:from>
    <xdr:to>
      <xdr:col>23</xdr:col>
      <xdr:colOff>637761</xdr:colOff>
      <xdr:row>13</xdr:row>
      <xdr:rowOff>2401</xdr:rowOff>
    </xdr:to>
    <xdr:sp macro="" textlink="">
      <xdr:nvSpPr>
        <xdr:cNvPr id="262" name="CuadroTexto 261">
          <a:extLst>
            <a:ext uri="{FF2B5EF4-FFF2-40B4-BE49-F238E27FC236}">
              <a16:creationId xmlns:a16="http://schemas.microsoft.com/office/drawing/2014/main" id="{BF1EEB58-DCC1-4558-9AFD-C44D791022FB}"/>
            </a:ext>
          </a:extLst>
        </xdr:cNvPr>
        <xdr:cNvSpPr txBox="1"/>
      </xdr:nvSpPr>
      <xdr:spPr>
        <a:xfrm>
          <a:off x="18400056" y="2510118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7</a:t>
          </a:r>
        </a:p>
      </xdr:txBody>
    </xdr:sp>
    <xdr:clientData/>
  </xdr:twoCellAnchor>
  <xdr:twoCellAnchor>
    <xdr:from>
      <xdr:col>31</xdr:col>
      <xdr:colOff>112056</xdr:colOff>
      <xdr:row>27</xdr:row>
      <xdr:rowOff>179294</xdr:rowOff>
    </xdr:from>
    <xdr:to>
      <xdr:col>31</xdr:col>
      <xdr:colOff>637761</xdr:colOff>
      <xdr:row>30</xdr:row>
      <xdr:rowOff>132522</xdr:rowOff>
    </xdr:to>
    <xdr:sp macro="" textlink="">
      <xdr:nvSpPr>
        <xdr:cNvPr id="263" name="CuadroTexto 262">
          <a:extLst>
            <a:ext uri="{FF2B5EF4-FFF2-40B4-BE49-F238E27FC236}">
              <a16:creationId xmlns:a16="http://schemas.microsoft.com/office/drawing/2014/main" id="{E5AA5F1C-6DBB-49D6-ACBB-F2BD573EA08F}"/>
            </a:ext>
          </a:extLst>
        </xdr:cNvPr>
        <xdr:cNvSpPr txBox="1"/>
      </xdr:nvSpPr>
      <xdr:spPr>
        <a:xfrm>
          <a:off x="24496056" y="5815853"/>
          <a:ext cx="525705" cy="547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10</a:t>
          </a:r>
        </a:p>
      </xdr:txBody>
    </xdr:sp>
    <xdr:clientData/>
  </xdr:twoCellAnchor>
  <xdr:twoCellAnchor>
    <xdr:from>
      <xdr:col>31</xdr:col>
      <xdr:colOff>112056</xdr:colOff>
      <xdr:row>10</xdr:row>
      <xdr:rowOff>111917</xdr:rowOff>
    </xdr:from>
    <xdr:to>
      <xdr:col>31</xdr:col>
      <xdr:colOff>637761</xdr:colOff>
      <xdr:row>13</xdr:row>
      <xdr:rowOff>79826</xdr:rowOff>
    </xdr:to>
    <xdr:sp macro="" textlink="">
      <xdr:nvSpPr>
        <xdr:cNvPr id="264" name="CuadroTexto 263">
          <a:extLst>
            <a:ext uri="{FF2B5EF4-FFF2-40B4-BE49-F238E27FC236}">
              <a16:creationId xmlns:a16="http://schemas.microsoft.com/office/drawing/2014/main" id="{E35ED7AE-C8BB-42AF-AC85-C6354AE47C3C}"/>
            </a:ext>
          </a:extLst>
        </xdr:cNvPr>
        <xdr:cNvSpPr txBox="1"/>
      </xdr:nvSpPr>
      <xdr:spPr>
        <a:xfrm>
          <a:off x="24496056" y="2431535"/>
          <a:ext cx="525705" cy="539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9</a:t>
          </a:r>
        </a:p>
      </xdr:txBody>
    </xdr:sp>
    <xdr:clientData/>
  </xdr:twoCellAnchor>
  <xdr:twoCellAnchor>
    <xdr:from>
      <xdr:col>31</xdr:col>
      <xdr:colOff>112056</xdr:colOff>
      <xdr:row>42</xdr:row>
      <xdr:rowOff>176960</xdr:rowOff>
    </xdr:from>
    <xdr:to>
      <xdr:col>31</xdr:col>
      <xdr:colOff>637761</xdr:colOff>
      <xdr:row>45</xdr:row>
      <xdr:rowOff>127552</xdr:rowOff>
    </xdr:to>
    <xdr:sp macro="" textlink="">
      <xdr:nvSpPr>
        <xdr:cNvPr id="265" name="CuadroTexto 264">
          <a:extLst>
            <a:ext uri="{FF2B5EF4-FFF2-40B4-BE49-F238E27FC236}">
              <a16:creationId xmlns:a16="http://schemas.microsoft.com/office/drawing/2014/main" id="{7DF4030D-DEE5-458D-8949-8FBB40BE59C6}"/>
            </a:ext>
          </a:extLst>
        </xdr:cNvPr>
        <xdr:cNvSpPr txBox="1"/>
      </xdr:nvSpPr>
      <xdr:spPr>
        <a:xfrm>
          <a:off x="24496056" y="8760666"/>
          <a:ext cx="525705" cy="555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11</a:t>
          </a:r>
        </a:p>
      </xdr:txBody>
    </xdr:sp>
    <xdr:clientData/>
  </xdr:twoCellAnchor>
  <xdr:twoCellAnchor>
    <xdr:from>
      <xdr:col>35</xdr:col>
      <xdr:colOff>236295</xdr:colOff>
      <xdr:row>35</xdr:row>
      <xdr:rowOff>131134</xdr:rowOff>
    </xdr:from>
    <xdr:to>
      <xdr:col>36</xdr:col>
      <xdr:colOff>0</xdr:colOff>
      <xdr:row>38</xdr:row>
      <xdr:rowOff>81726</xdr:rowOff>
    </xdr:to>
    <xdr:sp macro="" textlink="">
      <xdr:nvSpPr>
        <xdr:cNvPr id="266" name="CuadroTexto 265">
          <a:extLst>
            <a:ext uri="{FF2B5EF4-FFF2-40B4-BE49-F238E27FC236}">
              <a16:creationId xmlns:a16="http://schemas.microsoft.com/office/drawing/2014/main" id="{ABFABC1E-313F-4BE8-89BC-9AA092B5D7EA}"/>
            </a:ext>
          </a:extLst>
        </xdr:cNvPr>
        <xdr:cNvSpPr txBox="1"/>
      </xdr:nvSpPr>
      <xdr:spPr>
        <a:xfrm>
          <a:off x="27668295" y="7358928"/>
          <a:ext cx="525705" cy="5332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12</a:t>
          </a:r>
        </a:p>
      </xdr:txBody>
    </xdr:sp>
    <xdr:clientData/>
  </xdr:twoCellAnchor>
  <xdr:twoCellAnchor>
    <xdr:from>
      <xdr:col>41</xdr:col>
      <xdr:colOff>198195</xdr:colOff>
      <xdr:row>54</xdr:row>
      <xdr:rowOff>176893</xdr:rowOff>
    </xdr:from>
    <xdr:to>
      <xdr:col>41</xdr:col>
      <xdr:colOff>723900</xdr:colOff>
      <xdr:row>57</xdr:row>
      <xdr:rowOff>67235</xdr:rowOff>
    </xdr:to>
    <xdr:sp macro="" textlink="">
      <xdr:nvSpPr>
        <xdr:cNvPr id="267" name="CuadroTexto 266">
          <a:extLst>
            <a:ext uri="{FF2B5EF4-FFF2-40B4-BE49-F238E27FC236}">
              <a16:creationId xmlns:a16="http://schemas.microsoft.com/office/drawing/2014/main" id="{CF03B102-E166-4903-AB06-16067E261DE0}"/>
            </a:ext>
          </a:extLst>
        </xdr:cNvPr>
        <xdr:cNvSpPr txBox="1"/>
      </xdr:nvSpPr>
      <xdr:spPr>
        <a:xfrm>
          <a:off x="32202195" y="11113834"/>
          <a:ext cx="525705" cy="4618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13</a:t>
          </a:r>
        </a:p>
      </xdr:txBody>
    </xdr:sp>
    <xdr:clientData/>
  </xdr:twoCellAnchor>
  <xdr:twoCellAnchor>
    <xdr:from>
      <xdr:col>23</xdr:col>
      <xdr:colOff>381000</xdr:colOff>
      <xdr:row>25</xdr:row>
      <xdr:rowOff>0</xdr:rowOff>
    </xdr:from>
    <xdr:to>
      <xdr:col>23</xdr:col>
      <xdr:colOff>381000</xdr:colOff>
      <xdr:row>26</xdr:row>
      <xdr:rowOff>0</xdr:rowOff>
    </xdr:to>
    <xdr:cxnSp macro="">
      <xdr:nvCxnSpPr>
        <xdr:cNvPr id="268" name="Conector recto 267">
          <a:extLst>
            <a:ext uri="{FF2B5EF4-FFF2-40B4-BE49-F238E27FC236}">
              <a16:creationId xmlns:a16="http://schemas.microsoft.com/office/drawing/2014/main" id="{163306B5-959A-4A3B-AB38-D28E051F324B}"/>
            </a:ext>
          </a:extLst>
        </xdr:cNvPr>
        <xdr:cNvCxnSpPr>
          <a:stCxn id="62" idx="2"/>
        </xdr:cNvCxnSpPr>
      </xdr:nvCxnSpPr>
      <xdr:spPr>
        <a:xfrm>
          <a:off x="17245853" y="4930588"/>
          <a:ext cx="0" cy="201706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14654</xdr:colOff>
      <xdr:row>82</xdr:row>
      <xdr:rowOff>0</xdr:rowOff>
    </xdr:from>
    <xdr:to>
      <xdr:col>12</xdr:col>
      <xdr:colOff>0</xdr:colOff>
      <xdr:row>90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B252661-38E9-525B-65BF-7AA6E6C7C5E6}"/>
            </a:ext>
          </a:extLst>
        </xdr:cNvPr>
        <xdr:cNvSpPr/>
      </xdr:nvSpPr>
      <xdr:spPr>
        <a:xfrm>
          <a:off x="5348654" y="3810000"/>
          <a:ext cx="747346" cy="1524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14654</xdr:colOff>
      <xdr:row>82</xdr:row>
      <xdr:rowOff>0</xdr:rowOff>
    </xdr:from>
    <xdr:to>
      <xdr:col>12</xdr:col>
      <xdr:colOff>0</xdr:colOff>
      <xdr:row>86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94F9D1A3-B90B-4373-8EA2-2E8EA7D4A5C6}"/>
            </a:ext>
          </a:extLst>
        </xdr:cNvPr>
        <xdr:cNvSpPr/>
      </xdr:nvSpPr>
      <xdr:spPr>
        <a:xfrm>
          <a:off x="5348654" y="3810000"/>
          <a:ext cx="747346" cy="76200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388327</xdr:colOff>
      <xdr:row>86</xdr:row>
      <xdr:rowOff>0</xdr:rowOff>
    </xdr:from>
    <xdr:to>
      <xdr:col>11</xdr:col>
      <xdr:colOff>388327</xdr:colOff>
      <xdr:row>94</xdr:row>
      <xdr:rowOff>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77BF0E19-EA64-D40B-642A-88C2724EC4FE}"/>
            </a:ext>
          </a:extLst>
        </xdr:cNvPr>
        <xdr:cNvCxnSpPr>
          <a:endCxn id="3" idx="2"/>
        </xdr:cNvCxnSpPr>
      </xdr:nvCxnSpPr>
      <xdr:spPr>
        <a:xfrm flipV="1">
          <a:off x="5722327" y="4572000"/>
          <a:ext cx="0" cy="152400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84</xdr:row>
      <xdr:rowOff>4142</xdr:rowOff>
    </xdr:from>
    <xdr:to>
      <xdr:col>17</xdr:col>
      <xdr:colOff>182217</xdr:colOff>
      <xdr:row>84</xdr:row>
      <xdr:rowOff>4142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446B50D5-047B-4BAA-934C-66F514A8384F}"/>
            </a:ext>
          </a:extLst>
        </xdr:cNvPr>
        <xdr:cNvCxnSpPr>
          <a:stCxn id="3" idx="3"/>
          <a:endCxn id="6" idx="2"/>
        </xdr:cNvCxnSpPr>
      </xdr:nvCxnSpPr>
      <xdr:spPr>
        <a:xfrm>
          <a:off x="6096000" y="3855555"/>
          <a:ext cx="4124739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388327</xdr:colOff>
      <xdr:row>80</xdr:row>
      <xdr:rowOff>0</xdr:rowOff>
    </xdr:from>
    <xdr:to>
      <xdr:col>11</xdr:col>
      <xdr:colOff>388327</xdr:colOff>
      <xdr:row>82</xdr:row>
      <xdr:rowOff>0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83E875C6-1A9E-EAD4-6F70-33312C4E719F}"/>
            </a:ext>
          </a:extLst>
        </xdr:cNvPr>
        <xdr:cNvCxnSpPr>
          <a:stCxn id="3" idx="0"/>
        </xdr:cNvCxnSpPr>
      </xdr:nvCxnSpPr>
      <xdr:spPr>
        <a:xfrm flipV="1">
          <a:off x="5722327" y="3069981"/>
          <a:ext cx="0" cy="38100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421757</xdr:colOff>
      <xdr:row>85</xdr:row>
      <xdr:rowOff>62082</xdr:rowOff>
    </xdr:from>
    <xdr:to>
      <xdr:col>8</xdr:col>
      <xdr:colOff>421757</xdr:colOff>
      <xdr:row>86</xdr:row>
      <xdr:rowOff>0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14DF5992-9585-4FCD-B45F-4FD4702FD28C}"/>
            </a:ext>
          </a:extLst>
        </xdr:cNvPr>
        <xdr:cNvCxnSpPr>
          <a:endCxn id="17" idx="2"/>
        </xdr:cNvCxnSpPr>
      </xdr:nvCxnSpPr>
      <xdr:spPr>
        <a:xfrm flipV="1">
          <a:off x="3469757" y="4098301"/>
          <a:ext cx="0" cy="140324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186119</xdr:colOff>
      <xdr:row>82</xdr:row>
      <xdr:rowOff>119063</xdr:rowOff>
    </xdr:from>
    <xdr:to>
      <xdr:col>14</xdr:col>
      <xdr:colOff>711824</xdr:colOff>
      <xdr:row>85</xdr:row>
      <xdr:rowOff>62082</xdr:rowOff>
    </xdr:to>
    <xdr:sp macro="" textlink="">
      <xdr:nvSpPr>
        <xdr:cNvPr id="24" name="Diagrama de flujo: decisión 23">
          <a:extLst>
            <a:ext uri="{FF2B5EF4-FFF2-40B4-BE49-F238E27FC236}">
              <a16:creationId xmlns:a16="http://schemas.microsoft.com/office/drawing/2014/main" id="{E404F252-0862-4A33-8830-D850723F0961}"/>
            </a:ext>
          </a:extLst>
        </xdr:cNvPr>
        <xdr:cNvSpPr/>
      </xdr:nvSpPr>
      <xdr:spPr>
        <a:xfrm>
          <a:off x="7806119" y="3572911"/>
          <a:ext cx="525705" cy="514519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448972</xdr:colOff>
      <xdr:row>85</xdr:row>
      <xdr:rowOff>62082</xdr:rowOff>
    </xdr:from>
    <xdr:to>
      <xdr:col>14</xdr:col>
      <xdr:colOff>448972</xdr:colOff>
      <xdr:row>86</xdr:row>
      <xdr:rowOff>0</xdr:rowOff>
    </xdr:to>
    <xdr:cxnSp macro="">
      <xdr:nvCxnSpPr>
        <xdr:cNvPr id="25" name="Conector recto 24">
          <a:extLst>
            <a:ext uri="{FF2B5EF4-FFF2-40B4-BE49-F238E27FC236}">
              <a16:creationId xmlns:a16="http://schemas.microsoft.com/office/drawing/2014/main" id="{E3814874-C660-4FAB-9119-3626E48B8B13}"/>
            </a:ext>
          </a:extLst>
        </xdr:cNvPr>
        <xdr:cNvCxnSpPr>
          <a:endCxn id="24" idx="2"/>
        </xdr:cNvCxnSpPr>
      </xdr:nvCxnSpPr>
      <xdr:spPr>
        <a:xfrm flipV="1">
          <a:off x="8068972" y="4087430"/>
          <a:ext cx="0" cy="13670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182217</xdr:colOff>
      <xdr:row>81</xdr:row>
      <xdr:rowOff>0</xdr:rowOff>
    </xdr:from>
    <xdr:to>
      <xdr:col>18</xdr:col>
      <xdr:colOff>571499</xdr:colOff>
      <xdr:row>87</xdr:row>
      <xdr:rowOff>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3AAC3F0B-74E4-AD98-C9E1-E21BDFEFE6D1}"/>
            </a:ext>
          </a:extLst>
        </xdr:cNvPr>
        <xdr:cNvSpPr/>
      </xdr:nvSpPr>
      <xdr:spPr>
        <a:xfrm>
          <a:off x="10220739" y="3279913"/>
          <a:ext cx="1151282" cy="1151283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21</xdr:col>
      <xdr:colOff>312549</xdr:colOff>
      <xdr:row>85</xdr:row>
      <xdr:rowOff>66260</xdr:rowOff>
    </xdr:from>
    <xdr:to>
      <xdr:col>21</xdr:col>
      <xdr:colOff>312549</xdr:colOff>
      <xdr:row>86</xdr:row>
      <xdr:rowOff>4177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823CB56D-874C-4873-A024-9C2997840BAB}"/>
            </a:ext>
          </a:extLst>
        </xdr:cNvPr>
        <xdr:cNvCxnSpPr>
          <a:endCxn id="26" idx="2"/>
        </xdr:cNvCxnSpPr>
      </xdr:nvCxnSpPr>
      <xdr:spPr>
        <a:xfrm flipV="1">
          <a:off x="13399071" y="4099890"/>
          <a:ext cx="0" cy="13670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757858</xdr:colOff>
      <xdr:row>78</xdr:row>
      <xdr:rowOff>0</xdr:rowOff>
    </xdr:from>
    <xdr:to>
      <xdr:col>17</xdr:col>
      <xdr:colOff>757858</xdr:colOff>
      <xdr:row>81</xdr:row>
      <xdr:rowOff>0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AC2F8839-9F2A-46F9-9C40-A26AE0901469}"/>
            </a:ext>
          </a:extLst>
        </xdr:cNvPr>
        <xdr:cNvCxnSpPr>
          <a:stCxn id="6" idx="0"/>
        </xdr:cNvCxnSpPr>
      </xdr:nvCxnSpPr>
      <xdr:spPr>
        <a:xfrm flipV="1">
          <a:off x="10796380" y="2691848"/>
          <a:ext cx="0" cy="57978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59</xdr:row>
      <xdr:rowOff>0</xdr:rowOff>
    </xdr:from>
    <xdr:to>
      <xdr:col>26</xdr:col>
      <xdr:colOff>0</xdr:colOff>
      <xdr:row>76</xdr:row>
      <xdr:rowOff>0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8A57BC1-648D-4148-BB2E-1013801305C8}"/>
            </a:ext>
          </a:extLst>
        </xdr:cNvPr>
        <xdr:cNvSpPr/>
      </xdr:nvSpPr>
      <xdr:spPr>
        <a:xfrm>
          <a:off x="15373350" y="2667000"/>
          <a:ext cx="1524000" cy="325755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24</xdr:col>
      <xdr:colOff>0</xdr:colOff>
      <xdr:row>56</xdr:row>
      <xdr:rowOff>0</xdr:rowOff>
    </xdr:from>
    <xdr:to>
      <xdr:col>26</xdr:col>
      <xdr:colOff>0</xdr:colOff>
      <xdr:row>79</xdr:row>
      <xdr:rowOff>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7588D9AF-BFEF-3141-453C-FF5E6D7A63B7}"/>
            </a:ext>
          </a:extLst>
        </xdr:cNvPr>
        <xdr:cNvSpPr/>
      </xdr:nvSpPr>
      <xdr:spPr>
        <a:xfrm>
          <a:off x="15373350" y="2095500"/>
          <a:ext cx="1524000" cy="4410075"/>
        </a:xfrm>
        <a:prstGeom prst="roundRect">
          <a:avLst>
            <a:gd name="adj" fmla="val 0"/>
          </a:avLst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23</xdr:col>
      <xdr:colOff>421342</xdr:colOff>
      <xdr:row>56</xdr:row>
      <xdr:rowOff>0</xdr:rowOff>
    </xdr:from>
    <xdr:to>
      <xdr:col>26</xdr:col>
      <xdr:colOff>421342</xdr:colOff>
      <xdr:row>56</xdr:row>
      <xdr:rowOff>0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E5D09246-66FA-4D95-9B5D-4BBB8E8B4E28}"/>
            </a:ext>
          </a:extLst>
        </xdr:cNvPr>
        <xdr:cNvCxnSpPr/>
      </xdr:nvCxnSpPr>
      <xdr:spPr>
        <a:xfrm>
          <a:off x="15032692" y="2095500"/>
          <a:ext cx="22860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421342</xdr:colOff>
      <xdr:row>79</xdr:row>
      <xdr:rowOff>0</xdr:rowOff>
    </xdr:from>
    <xdr:to>
      <xdr:col>26</xdr:col>
      <xdr:colOff>421342</xdr:colOff>
      <xdr:row>79</xdr:row>
      <xdr:rowOff>0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1EC1E8F3-D17E-4053-8DC5-849A03F106FD}"/>
            </a:ext>
          </a:extLst>
        </xdr:cNvPr>
        <xdr:cNvCxnSpPr/>
      </xdr:nvCxnSpPr>
      <xdr:spPr>
        <a:xfrm>
          <a:off x="15033813" y="6510618"/>
          <a:ext cx="22860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571499</xdr:colOff>
      <xdr:row>79</xdr:row>
      <xdr:rowOff>0</xdr:rowOff>
    </xdr:from>
    <xdr:to>
      <xdr:col>25</xdr:col>
      <xdr:colOff>0</xdr:colOff>
      <xdr:row>84</xdr:row>
      <xdr:rowOff>4763</xdr:rowOff>
    </xdr:to>
    <xdr:cxnSp macro="">
      <xdr:nvCxnSpPr>
        <xdr:cNvPr id="56" name="Conector: angular 55">
          <a:extLst>
            <a:ext uri="{FF2B5EF4-FFF2-40B4-BE49-F238E27FC236}">
              <a16:creationId xmlns:a16="http://schemas.microsoft.com/office/drawing/2014/main" id="{10D93B48-CD79-EB70-CB7F-8BD58FB87E7F}"/>
            </a:ext>
          </a:extLst>
        </xdr:cNvPr>
        <xdr:cNvCxnSpPr>
          <a:stCxn id="6" idx="6"/>
          <a:endCxn id="33" idx="2"/>
        </xdr:cNvCxnSpPr>
      </xdr:nvCxnSpPr>
      <xdr:spPr>
        <a:xfrm flipV="1">
          <a:off x="11372849" y="12649200"/>
          <a:ext cx="4762501" cy="966788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49696</xdr:colOff>
      <xdr:row>82</xdr:row>
      <xdr:rowOff>123241</xdr:rowOff>
    </xdr:from>
    <xdr:to>
      <xdr:col>21</xdr:col>
      <xdr:colOff>575401</xdr:colOff>
      <xdr:row>85</xdr:row>
      <xdr:rowOff>66260</xdr:rowOff>
    </xdr:to>
    <xdr:sp macro="" textlink="">
      <xdr:nvSpPr>
        <xdr:cNvPr id="26" name="Diagrama de flujo: decisión 25">
          <a:extLst>
            <a:ext uri="{FF2B5EF4-FFF2-40B4-BE49-F238E27FC236}">
              <a16:creationId xmlns:a16="http://schemas.microsoft.com/office/drawing/2014/main" id="{2B900172-BA22-4DD9-A626-0B9294763B9F}"/>
            </a:ext>
          </a:extLst>
        </xdr:cNvPr>
        <xdr:cNvSpPr/>
      </xdr:nvSpPr>
      <xdr:spPr>
        <a:xfrm>
          <a:off x="13136218" y="3585371"/>
          <a:ext cx="525705" cy="514519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0</xdr:colOff>
      <xdr:row>59</xdr:row>
      <xdr:rowOff>0</xdr:rowOff>
    </xdr:from>
    <xdr:to>
      <xdr:col>26</xdr:col>
      <xdr:colOff>0</xdr:colOff>
      <xdr:row>76</xdr:row>
      <xdr:rowOff>0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6185CC54-A515-4023-97F8-EF83D19F5816}"/>
            </a:ext>
          </a:extLst>
        </xdr:cNvPr>
        <xdr:cNvCxnSpPr/>
      </xdr:nvCxnSpPr>
      <xdr:spPr>
        <a:xfrm>
          <a:off x="15373350" y="2667000"/>
          <a:ext cx="1524000" cy="32575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59</xdr:row>
      <xdr:rowOff>0</xdr:rowOff>
    </xdr:from>
    <xdr:to>
      <xdr:col>26</xdr:col>
      <xdr:colOff>0</xdr:colOff>
      <xdr:row>76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F9A6AE2C-F6D8-43B5-9F38-D5461E35C41C}"/>
            </a:ext>
          </a:extLst>
        </xdr:cNvPr>
        <xdr:cNvCxnSpPr/>
      </xdr:nvCxnSpPr>
      <xdr:spPr>
        <a:xfrm flipH="1">
          <a:off x="15373350" y="2667000"/>
          <a:ext cx="1524000" cy="32575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67</xdr:row>
      <xdr:rowOff>99392</xdr:rowOff>
    </xdr:from>
    <xdr:to>
      <xdr:col>27</xdr:col>
      <xdr:colOff>0</xdr:colOff>
      <xdr:row>67</xdr:row>
      <xdr:rowOff>99392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38420726-0168-4FFB-BB78-991395F91427}"/>
            </a:ext>
          </a:extLst>
        </xdr:cNvPr>
        <xdr:cNvCxnSpPr>
          <a:endCxn id="33" idx="3"/>
        </xdr:cNvCxnSpPr>
      </xdr:nvCxnSpPr>
      <xdr:spPr>
        <a:xfrm flipH="1">
          <a:off x="16896522" y="4331805"/>
          <a:ext cx="762000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514258</xdr:colOff>
      <xdr:row>34</xdr:row>
      <xdr:rowOff>190499</xdr:rowOff>
    </xdr:from>
    <xdr:to>
      <xdr:col>25</xdr:col>
      <xdr:colOff>262661</xdr:colOff>
      <xdr:row>39</xdr:row>
      <xdr:rowOff>0</xdr:rowOff>
    </xdr:to>
    <xdr:grpSp>
      <xdr:nvGrpSpPr>
        <xdr:cNvPr id="73" name="Grupo 72">
          <a:extLst>
            <a:ext uri="{FF2B5EF4-FFF2-40B4-BE49-F238E27FC236}">
              <a16:creationId xmlns:a16="http://schemas.microsoft.com/office/drawing/2014/main" id="{7F389167-A077-0085-8BC2-1AC26455CED9}"/>
            </a:ext>
          </a:extLst>
        </xdr:cNvPr>
        <xdr:cNvGrpSpPr/>
      </xdr:nvGrpSpPr>
      <xdr:grpSpPr>
        <a:xfrm>
          <a:off x="18240283" y="6981824"/>
          <a:ext cx="510403" cy="790576"/>
          <a:chOff x="15752627" y="3242088"/>
          <a:chExt cx="762866" cy="1329912"/>
        </a:xfrm>
      </xdr:grpSpPr>
      <xdr:sp macro="" textlink="">
        <xdr:nvSpPr>
          <xdr:cNvPr id="71" name="Triángulo isósceles 70">
            <a:extLst>
              <a:ext uri="{FF2B5EF4-FFF2-40B4-BE49-F238E27FC236}">
                <a16:creationId xmlns:a16="http://schemas.microsoft.com/office/drawing/2014/main" id="{31D71CCF-B58B-09A2-5CCD-D738CF1981BB}"/>
              </a:ext>
            </a:extLst>
          </xdr:cNvPr>
          <xdr:cNvSpPr/>
        </xdr:nvSpPr>
        <xdr:spPr>
          <a:xfrm>
            <a:off x="15752627" y="3915103"/>
            <a:ext cx="762000" cy="656897"/>
          </a:xfrm>
          <a:prstGeom prst="triangle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" name="Triángulo isósceles 71">
            <a:extLst>
              <a:ext uri="{FF2B5EF4-FFF2-40B4-BE49-F238E27FC236}">
                <a16:creationId xmlns:a16="http://schemas.microsoft.com/office/drawing/2014/main" id="{952ACE34-3B5B-4CED-91DF-D29CD14B3A53}"/>
              </a:ext>
            </a:extLst>
          </xdr:cNvPr>
          <xdr:cNvSpPr/>
        </xdr:nvSpPr>
        <xdr:spPr>
          <a:xfrm rot="10800000">
            <a:off x="15753493" y="3242088"/>
            <a:ext cx="762000" cy="656897"/>
          </a:xfrm>
          <a:prstGeom prst="triangle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>
    <xdr:from>
      <xdr:col>25</xdr:col>
      <xdr:colOff>0</xdr:colOff>
      <xdr:row>39</xdr:row>
      <xdr:rowOff>0</xdr:rowOff>
    </xdr:from>
    <xdr:to>
      <xdr:col>25</xdr:col>
      <xdr:colOff>7170</xdr:colOff>
      <xdr:row>56</xdr:row>
      <xdr:rowOff>0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D427939-C4D0-427D-BED0-0D91270DC766}"/>
            </a:ext>
          </a:extLst>
        </xdr:cNvPr>
        <xdr:cNvCxnSpPr>
          <a:stCxn id="33" idx="0"/>
          <a:endCxn id="71" idx="3"/>
        </xdr:cNvCxnSpPr>
      </xdr:nvCxnSpPr>
      <xdr:spPr>
        <a:xfrm flipV="1">
          <a:off x="16136471" y="4572000"/>
          <a:ext cx="7170" cy="3283324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498377</xdr:colOff>
      <xdr:row>45</xdr:row>
      <xdr:rowOff>144903</xdr:rowOff>
    </xdr:from>
    <xdr:to>
      <xdr:col>25</xdr:col>
      <xdr:colOff>262082</xdr:colOff>
      <xdr:row>48</xdr:row>
      <xdr:rowOff>65941</xdr:rowOff>
    </xdr:to>
    <xdr:sp macro="" textlink="">
      <xdr:nvSpPr>
        <xdr:cNvPr id="77" name="Diagrama de flujo: decisión 76">
          <a:extLst>
            <a:ext uri="{FF2B5EF4-FFF2-40B4-BE49-F238E27FC236}">
              <a16:creationId xmlns:a16="http://schemas.microsoft.com/office/drawing/2014/main" id="{8AEA5133-77C8-4065-BC95-6912692D4904}"/>
            </a:ext>
          </a:extLst>
        </xdr:cNvPr>
        <xdr:cNvSpPr/>
      </xdr:nvSpPr>
      <xdr:spPr>
        <a:xfrm>
          <a:off x="15870262" y="5867230"/>
          <a:ext cx="525705" cy="514519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0</xdr:colOff>
      <xdr:row>47</xdr:row>
      <xdr:rowOff>21163</xdr:rowOff>
    </xdr:from>
    <xdr:to>
      <xdr:col>24</xdr:col>
      <xdr:colOff>498377</xdr:colOff>
      <xdr:row>47</xdr:row>
      <xdr:rowOff>21163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35E337FE-D2FA-4E8D-958C-07A3464CED08}"/>
            </a:ext>
          </a:extLst>
        </xdr:cNvPr>
        <xdr:cNvCxnSpPr>
          <a:endCxn id="77" idx="1"/>
        </xdr:cNvCxnSpPr>
      </xdr:nvCxnSpPr>
      <xdr:spPr>
        <a:xfrm>
          <a:off x="15371885" y="6124490"/>
          <a:ext cx="498377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179297</xdr:colOff>
      <xdr:row>27</xdr:row>
      <xdr:rowOff>5359</xdr:rowOff>
    </xdr:from>
    <xdr:to>
      <xdr:col>31</xdr:col>
      <xdr:colOff>568579</xdr:colOff>
      <xdr:row>33</xdr:row>
      <xdr:rowOff>13641</xdr:rowOff>
    </xdr:to>
    <xdr:sp macro="" textlink="">
      <xdr:nvSpPr>
        <xdr:cNvPr id="81" name="Elipse 80">
          <a:extLst>
            <a:ext uri="{FF2B5EF4-FFF2-40B4-BE49-F238E27FC236}">
              <a16:creationId xmlns:a16="http://schemas.microsoft.com/office/drawing/2014/main" id="{6A8CDF4C-6A4A-4D86-8136-0094878A22A8}"/>
            </a:ext>
          </a:extLst>
        </xdr:cNvPr>
        <xdr:cNvSpPr/>
      </xdr:nvSpPr>
      <xdr:spPr>
        <a:xfrm>
          <a:off x="20125768" y="2369800"/>
          <a:ext cx="1151282" cy="1162488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25</xdr:col>
      <xdr:colOff>7749</xdr:colOff>
      <xdr:row>30</xdr:row>
      <xdr:rowOff>3897</xdr:rowOff>
    </xdr:from>
    <xdr:to>
      <xdr:col>30</xdr:col>
      <xdr:colOff>179297</xdr:colOff>
      <xdr:row>34</xdr:row>
      <xdr:rowOff>190499</xdr:rowOff>
    </xdr:to>
    <xdr:cxnSp macro="">
      <xdr:nvCxnSpPr>
        <xdr:cNvPr id="82" name="Conector: angular 81">
          <a:extLst>
            <a:ext uri="{FF2B5EF4-FFF2-40B4-BE49-F238E27FC236}">
              <a16:creationId xmlns:a16="http://schemas.microsoft.com/office/drawing/2014/main" id="{49E45093-F59F-4BC4-AF14-9D8B871461CB}"/>
            </a:ext>
          </a:extLst>
        </xdr:cNvPr>
        <xdr:cNvCxnSpPr>
          <a:stCxn id="72" idx="3"/>
          <a:endCxn id="81" idx="2"/>
        </xdr:cNvCxnSpPr>
      </xdr:nvCxnSpPr>
      <xdr:spPr>
        <a:xfrm rot="5400000" flipH="1" flipV="1">
          <a:off x="17660693" y="1434571"/>
          <a:ext cx="948602" cy="3981548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236295</xdr:colOff>
      <xdr:row>28</xdr:row>
      <xdr:rowOff>137594</xdr:rowOff>
    </xdr:from>
    <xdr:to>
      <xdr:col>27</xdr:col>
      <xdr:colOff>0</xdr:colOff>
      <xdr:row>31</xdr:row>
      <xdr:rowOff>75197</xdr:rowOff>
    </xdr:to>
    <xdr:sp macro="" textlink="">
      <xdr:nvSpPr>
        <xdr:cNvPr id="91" name="Diagrama de flujo: decisión 90">
          <a:extLst>
            <a:ext uri="{FF2B5EF4-FFF2-40B4-BE49-F238E27FC236}">
              <a16:creationId xmlns:a16="http://schemas.microsoft.com/office/drawing/2014/main" id="{555A05A3-AC56-4ABE-A847-FE9DBD94BFC4}"/>
            </a:ext>
          </a:extLst>
        </xdr:cNvPr>
        <xdr:cNvSpPr/>
      </xdr:nvSpPr>
      <xdr:spPr>
        <a:xfrm>
          <a:off x="17134766" y="2703741"/>
          <a:ext cx="525705" cy="509103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26</xdr:col>
      <xdr:colOff>499148</xdr:colOff>
      <xdr:row>28</xdr:row>
      <xdr:rowOff>0</xdr:rowOff>
    </xdr:from>
    <xdr:to>
      <xdr:col>26</xdr:col>
      <xdr:colOff>499148</xdr:colOff>
      <xdr:row>28</xdr:row>
      <xdr:rowOff>137594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482C029A-1289-40CB-98FE-E324C3A8C573}"/>
            </a:ext>
          </a:extLst>
        </xdr:cNvPr>
        <xdr:cNvCxnSpPr>
          <a:stCxn id="91" idx="0"/>
        </xdr:cNvCxnSpPr>
      </xdr:nvCxnSpPr>
      <xdr:spPr>
        <a:xfrm flipV="1">
          <a:off x="17397619" y="2566147"/>
          <a:ext cx="0" cy="137594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16460</xdr:colOff>
      <xdr:row>36</xdr:row>
      <xdr:rowOff>190471</xdr:rowOff>
    </xdr:from>
    <xdr:to>
      <xdr:col>25</xdr:col>
      <xdr:colOff>7170</xdr:colOff>
      <xdr:row>37</xdr:row>
      <xdr:rowOff>28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168F9A17-EEA0-41BA-9131-AC55CB3D05CA}"/>
            </a:ext>
          </a:extLst>
        </xdr:cNvPr>
        <xdr:cNvCxnSpPr>
          <a:endCxn id="71" idx="0"/>
        </xdr:cNvCxnSpPr>
      </xdr:nvCxnSpPr>
      <xdr:spPr>
        <a:xfrm>
          <a:off x="15389810" y="4276696"/>
          <a:ext cx="752710" cy="958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754938</xdr:colOff>
      <xdr:row>24</xdr:row>
      <xdr:rowOff>212911</xdr:rowOff>
    </xdr:from>
    <xdr:to>
      <xdr:col>30</xdr:col>
      <xdr:colOff>754938</xdr:colOff>
      <xdr:row>27</xdr:row>
      <xdr:rowOff>5359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A94004C0-6409-42FE-8521-37CCC46F22B6}"/>
            </a:ext>
          </a:extLst>
        </xdr:cNvPr>
        <xdr:cNvCxnSpPr>
          <a:stCxn id="81" idx="0"/>
        </xdr:cNvCxnSpPr>
      </xdr:nvCxnSpPr>
      <xdr:spPr>
        <a:xfrm flipV="1">
          <a:off x="20701409" y="1972235"/>
          <a:ext cx="0" cy="397565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-1</xdr:colOff>
      <xdr:row>27</xdr:row>
      <xdr:rowOff>5359</xdr:rowOff>
    </xdr:from>
    <xdr:to>
      <xdr:col>39</xdr:col>
      <xdr:colOff>0</xdr:colOff>
      <xdr:row>33</xdr:row>
      <xdr:rowOff>13641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AFE9C6E8-5319-D5E5-8C3A-03880878B3B5}"/>
            </a:ext>
          </a:extLst>
        </xdr:cNvPr>
        <xdr:cNvSpPr/>
      </xdr:nvSpPr>
      <xdr:spPr>
        <a:xfrm>
          <a:off x="30622874" y="5601297"/>
          <a:ext cx="762001" cy="1151282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31</xdr:col>
      <xdr:colOff>568579</xdr:colOff>
      <xdr:row>30</xdr:row>
      <xdr:rowOff>3897</xdr:rowOff>
    </xdr:from>
    <xdr:to>
      <xdr:col>38</xdr:col>
      <xdr:colOff>-1</xdr:colOff>
      <xdr:row>30</xdr:row>
      <xdr:rowOff>3897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FDD7BEDD-16D5-4F40-AD7E-B6A840C15C80}"/>
            </a:ext>
          </a:extLst>
        </xdr:cNvPr>
        <xdr:cNvCxnSpPr>
          <a:stCxn id="81" idx="6"/>
          <a:endCxn id="4" idx="1"/>
        </xdr:cNvCxnSpPr>
      </xdr:nvCxnSpPr>
      <xdr:spPr>
        <a:xfrm>
          <a:off x="21277050" y="2951044"/>
          <a:ext cx="476542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761998</xdr:colOff>
      <xdr:row>33</xdr:row>
      <xdr:rowOff>13641</xdr:rowOff>
    </xdr:from>
    <xdr:to>
      <xdr:col>39</xdr:col>
      <xdr:colOff>0</xdr:colOff>
      <xdr:row>35</xdr:row>
      <xdr:rowOff>24905</xdr:rowOff>
    </xdr:to>
    <xdr:sp macro="" textlink="">
      <xdr:nvSpPr>
        <xdr:cNvPr id="42" name="Triángulo isósceles 41">
          <a:extLst>
            <a:ext uri="{FF2B5EF4-FFF2-40B4-BE49-F238E27FC236}">
              <a16:creationId xmlns:a16="http://schemas.microsoft.com/office/drawing/2014/main" id="{CCC77A19-8603-4FD9-6F53-A2AA87EECA91}"/>
            </a:ext>
          </a:extLst>
        </xdr:cNvPr>
        <xdr:cNvSpPr/>
      </xdr:nvSpPr>
      <xdr:spPr>
        <a:xfrm rot="10800000">
          <a:off x="26042469" y="3532288"/>
          <a:ext cx="762002" cy="392264"/>
        </a:xfrm>
        <a:prstGeom prst="triangl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35</xdr:col>
      <xdr:colOff>213884</xdr:colOff>
      <xdr:row>28</xdr:row>
      <xdr:rowOff>137594</xdr:rowOff>
    </xdr:from>
    <xdr:to>
      <xdr:col>35</xdr:col>
      <xdr:colOff>739589</xdr:colOff>
      <xdr:row>31</xdr:row>
      <xdr:rowOff>75197</xdr:rowOff>
    </xdr:to>
    <xdr:sp macro="" textlink="">
      <xdr:nvSpPr>
        <xdr:cNvPr id="50" name="Diagrama de flujo: decisión 49">
          <a:extLst>
            <a:ext uri="{FF2B5EF4-FFF2-40B4-BE49-F238E27FC236}">
              <a16:creationId xmlns:a16="http://schemas.microsoft.com/office/drawing/2014/main" id="{F8B5D7B6-9429-4125-9317-CCDAFCD5946E}"/>
            </a:ext>
          </a:extLst>
        </xdr:cNvPr>
        <xdr:cNvSpPr/>
      </xdr:nvSpPr>
      <xdr:spPr>
        <a:xfrm>
          <a:off x="23970355" y="2703741"/>
          <a:ext cx="525705" cy="509103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35</xdr:col>
      <xdr:colOff>476737</xdr:colOff>
      <xdr:row>28</xdr:row>
      <xdr:rowOff>0</xdr:rowOff>
    </xdr:from>
    <xdr:to>
      <xdr:col>35</xdr:col>
      <xdr:colOff>476737</xdr:colOff>
      <xdr:row>28</xdr:row>
      <xdr:rowOff>137594</xdr:rowOff>
    </xdr:to>
    <xdr:cxnSp macro="">
      <xdr:nvCxnSpPr>
        <xdr:cNvPr id="51" name="Conector recto 50">
          <a:extLst>
            <a:ext uri="{FF2B5EF4-FFF2-40B4-BE49-F238E27FC236}">
              <a16:creationId xmlns:a16="http://schemas.microsoft.com/office/drawing/2014/main" id="{6074DEA2-2032-40E4-A41C-D9504AE13ED7}"/>
            </a:ext>
          </a:extLst>
        </xdr:cNvPr>
        <xdr:cNvCxnSpPr>
          <a:stCxn id="50" idx="0"/>
        </xdr:cNvCxnSpPr>
      </xdr:nvCxnSpPr>
      <xdr:spPr>
        <a:xfrm flipV="1">
          <a:off x="24233208" y="2566147"/>
          <a:ext cx="0" cy="137594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380999</xdr:colOff>
      <xdr:row>35</xdr:row>
      <xdr:rowOff>24905</xdr:rowOff>
    </xdr:from>
    <xdr:to>
      <xdr:col>41</xdr:col>
      <xdr:colOff>761999</xdr:colOff>
      <xdr:row>41</xdr:row>
      <xdr:rowOff>0</xdr:rowOff>
    </xdr:to>
    <xdr:cxnSp macro="">
      <xdr:nvCxnSpPr>
        <xdr:cNvPr id="55" name="Conector: angular 54">
          <a:extLst>
            <a:ext uri="{FF2B5EF4-FFF2-40B4-BE49-F238E27FC236}">
              <a16:creationId xmlns:a16="http://schemas.microsoft.com/office/drawing/2014/main" id="{F2770A29-E6CD-C524-2ACA-E687DDAC80AB}"/>
            </a:ext>
          </a:extLst>
        </xdr:cNvPr>
        <xdr:cNvCxnSpPr>
          <a:stCxn id="42" idx="0"/>
        </xdr:cNvCxnSpPr>
      </xdr:nvCxnSpPr>
      <xdr:spPr>
        <a:xfrm rot="16200000" flipH="1">
          <a:off x="27180994" y="3198261"/>
          <a:ext cx="1142414" cy="2667000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0</xdr:colOff>
      <xdr:row>21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CDD97C7C-A27E-4318-8E31-9E2698332449}"/>
            </a:ext>
          </a:extLst>
        </xdr:cNvPr>
        <xdr:cNvCxnSpPr/>
      </xdr:nvCxnSpPr>
      <xdr:spPr>
        <a:xfrm flipV="1">
          <a:off x="23753885" y="630115"/>
          <a:ext cx="0" cy="593481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18</xdr:row>
      <xdr:rowOff>0</xdr:rowOff>
    </xdr:from>
    <xdr:to>
      <xdr:col>26</xdr:col>
      <xdr:colOff>0</xdr:colOff>
      <xdr:row>19</xdr:row>
      <xdr:rowOff>0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9EF50ABF-D207-419F-ADC8-AEC831AAC44A}"/>
            </a:ext>
          </a:extLst>
        </xdr:cNvPr>
        <xdr:cNvCxnSpPr/>
      </xdr:nvCxnSpPr>
      <xdr:spPr>
        <a:xfrm flipV="1">
          <a:off x="16897350" y="628650"/>
          <a:ext cx="0" cy="200025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20</xdr:row>
      <xdr:rowOff>0</xdr:rowOff>
    </xdr:from>
    <xdr:to>
      <xdr:col>26</xdr:col>
      <xdr:colOff>0</xdr:colOff>
      <xdr:row>21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630F1621-0F9F-4592-A213-B0AA3DE0C1D4}"/>
            </a:ext>
          </a:extLst>
        </xdr:cNvPr>
        <xdr:cNvCxnSpPr/>
      </xdr:nvCxnSpPr>
      <xdr:spPr>
        <a:xfrm flipV="1">
          <a:off x="16897350" y="1028700"/>
          <a:ext cx="0" cy="200025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43</xdr:row>
      <xdr:rowOff>0</xdr:rowOff>
    </xdr:from>
    <xdr:to>
      <xdr:col>22</xdr:col>
      <xdr:colOff>0</xdr:colOff>
      <xdr:row>44</xdr:row>
      <xdr:rowOff>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B1644821-E298-4CCE-85AF-1ED8EF93D570}"/>
            </a:ext>
          </a:extLst>
        </xdr:cNvPr>
        <xdr:cNvCxnSpPr/>
      </xdr:nvCxnSpPr>
      <xdr:spPr>
        <a:xfrm flipV="1">
          <a:off x="13849350" y="5553075"/>
          <a:ext cx="0" cy="200025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236295</xdr:colOff>
      <xdr:row>39</xdr:row>
      <xdr:rowOff>121595</xdr:rowOff>
    </xdr:from>
    <xdr:to>
      <xdr:col>41</xdr:col>
      <xdr:colOff>0</xdr:colOff>
      <xdr:row>42</xdr:row>
      <xdr:rowOff>51871</xdr:rowOff>
    </xdr:to>
    <xdr:sp macro="" textlink="">
      <xdr:nvSpPr>
        <xdr:cNvPr id="21" name="Diagrama de flujo: decisión 20">
          <a:extLst>
            <a:ext uri="{FF2B5EF4-FFF2-40B4-BE49-F238E27FC236}">
              <a16:creationId xmlns:a16="http://schemas.microsoft.com/office/drawing/2014/main" id="{02A81826-6325-42CC-A350-EF6A2146AE9D}"/>
            </a:ext>
          </a:extLst>
        </xdr:cNvPr>
        <xdr:cNvSpPr/>
      </xdr:nvSpPr>
      <xdr:spPr>
        <a:xfrm>
          <a:off x="27797997" y="4843563"/>
          <a:ext cx="525705" cy="509882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40</xdr:col>
      <xdr:colOff>499148</xdr:colOff>
      <xdr:row>42</xdr:row>
      <xdr:rowOff>51871</xdr:rowOff>
    </xdr:from>
    <xdr:to>
      <xdr:col>40</xdr:col>
      <xdr:colOff>499148</xdr:colOff>
      <xdr:row>43</xdr:row>
      <xdr:rowOff>0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9519A2A7-8E64-463C-AB37-971030A7C677}"/>
            </a:ext>
          </a:extLst>
        </xdr:cNvPr>
        <xdr:cNvCxnSpPr>
          <a:endCxn id="21" idx="2"/>
        </xdr:cNvCxnSpPr>
      </xdr:nvCxnSpPr>
      <xdr:spPr>
        <a:xfrm flipV="1">
          <a:off x="28060850" y="5353445"/>
          <a:ext cx="0" cy="187268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497471</xdr:colOff>
      <xdr:row>44</xdr:row>
      <xdr:rowOff>0</xdr:rowOff>
    </xdr:from>
    <xdr:to>
      <xdr:col>40</xdr:col>
      <xdr:colOff>497471</xdr:colOff>
      <xdr:row>44</xdr:row>
      <xdr:rowOff>184612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522CBB3B-F722-44D7-9586-EB3A5C4419BD}"/>
            </a:ext>
          </a:extLst>
        </xdr:cNvPr>
        <xdr:cNvCxnSpPr/>
      </xdr:nvCxnSpPr>
      <xdr:spPr>
        <a:xfrm flipV="1">
          <a:off x="28060850" y="5754414"/>
          <a:ext cx="0" cy="184612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187261</xdr:colOff>
      <xdr:row>27</xdr:row>
      <xdr:rowOff>5358</xdr:rowOff>
    </xdr:from>
    <xdr:to>
      <xdr:col>7</xdr:col>
      <xdr:colOff>576543</xdr:colOff>
      <xdr:row>33</xdr:row>
      <xdr:rowOff>13640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DF274624-AF89-4250-8179-B4ED94C87E67}"/>
            </a:ext>
          </a:extLst>
        </xdr:cNvPr>
        <xdr:cNvSpPr/>
      </xdr:nvSpPr>
      <xdr:spPr>
        <a:xfrm>
          <a:off x="6283261" y="5653683"/>
          <a:ext cx="1151282" cy="1160807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0</xdr:colOff>
      <xdr:row>64</xdr:row>
      <xdr:rowOff>81643</xdr:rowOff>
    </xdr:from>
    <xdr:to>
      <xdr:col>11</xdr:col>
      <xdr:colOff>14654</xdr:colOff>
      <xdr:row>84</xdr:row>
      <xdr:rowOff>4142</xdr:rowOff>
    </xdr:to>
    <xdr:cxnSp macro="">
      <xdr:nvCxnSpPr>
        <xdr:cNvPr id="14" name="Conector: angular 13">
          <a:extLst>
            <a:ext uri="{FF2B5EF4-FFF2-40B4-BE49-F238E27FC236}">
              <a16:creationId xmlns:a16="http://schemas.microsoft.com/office/drawing/2014/main" id="{18FB6058-B2A7-41AA-A3DD-F38C20E53B79}"/>
            </a:ext>
          </a:extLst>
        </xdr:cNvPr>
        <xdr:cNvCxnSpPr>
          <a:stCxn id="8" idx="2"/>
          <a:endCxn id="3" idx="1"/>
        </xdr:cNvCxnSpPr>
      </xdr:nvCxnSpPr>
      <xdr:spPr>
        <a:xfrm rot="16200000" flipH="1">
          <a:off x="4199806" y="13076533"/>
          <a:ext cx="3807042" cy="3062654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158904</xdr:colOff>
      <xdr:row>82</xdr:row>
      <xdr:rowOff>119063</xdr:rowOff>
    </xdr:from>
    <xdr:to>
      <xdr:col>8</xdr:col>
      <xdr:colOff>684609</xdr:colOff>
      <xdr:row>85</xdr:row>
      <xdr:rowOff>62082</xdr:rowOff>
    </xdr:to>
    <xdr:sp macro="" textlink="">
      <xdr:nvSpPr>
        <xdr:cNvPr id="17" name="Diagrama de flujo: decisión 16">
          <a:extLst>
            <a:ext uri="{FF2B5EF4-FFF2-40B4-BE49-F238E27FC236}">
              <a16:creationId xmlns:a16="http://schemas.microsoft.com/office/drawing/2014/main" id="{4EF64D38-3BA4-22D7-1C58-DD833EB922E5}"/>
            </a:ext>
          </a:extLst>
        </xdr:cNvPr>
        <xdr:cNvSpPr/>
      </xdr:nvSpPr>
      <xdr:spPr>
        <a:xfrm>
          <a:off x="3206904" y="3583782"/>
          <a:ext cx="525705" cy="514519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7</xdr:col>
      <xdr:colOff>29477</xdr:colOff>
      <xdr:row>12</xdr:row>
      <xdr:rowOff>0</xdr:rowOff>
    </xdr:from>
    <xdr:to>
      <xdr:col>38</xdr:col>
      <xdr:colOff>381001</xdr:colOff>
      <xdr:row>27</xdr:row>
      <xdr:rowOff>5359</xdr:rowOff>
    </xdr:to>
    <xdr:cxnSp macro="">
      <xdr:nvCxnSpPr>
        <xdr:cNvPr id="86" name="Conector: angular 85">
          <a:extLst>
            <a:ext uri="{FF2B5EF4-FFF2-40B4-BE49-F238E27FC236}">
              <a16:creationId xmlns:a16="http://schemas.microsoft.com/office/drawing/2014/main" id="{9B202A9F-D153-1FF9-C72E-BC3F65D74D94}"/>
            </a:ext>
          </a:extLst>
        </xdr:cNvPr>
        <xdr:cNvCxnSpPr>
          <a:stCxn id="4" idx="0"/>
        </xdr:cNvCxnSpPr>
      </xdr:nvCxnSpPr>
      <xdr:spPr>
        <a:xfrm rot="16200000" flipV="1">
          <a:off x="17425491" y="-7871014"/>
          <a:ext cx="3036041" cy="24112069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12</xdr:row>
      <xdr:rowOff>0</xdr:rowOff>
    </xdr:from>
    <xdr:to>
      <xdr:col>7</xdr:col>
      <xdr:colOff>902</xdr:colOff>
      <xdr:row>27</xdr:row>
      <xdr:rowOff>5358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4EC192BE-A4EC-11F2-55DA-F5F5E5486178}"/>
            </a:ext>
          </a:extLst>
        </xdr:cNvPr>
        <xdr:cNvCxnSpPr>
          <a:endCxn id="10" idx="0"/>
        </xdr:cNvCxnSpPr>
      </xdr:nvCxnSpPr>
      <xdr:spPr>
        <a:xfrm>
          <a:off x="6858000" y="2667000"/>
          <a:ext cx="902" cy="2986683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185142</xdr:rowOff>
    </xdr:from>
    <xdr:to>
      <xdr:col>7</xdr:col>
      <xdr:colOff>0</xdr:colOff>
      <xdr:row>12</xdr:row>
      <xdr:rowOff>0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596255C2-A22E-454F-A5BE-407BA3F8D2AA}"/>
            </a:ext>
          </a:extLst>
        </xdr:cNvPr>
        <xdr:cNvCxnSpPr/>
      </xdr:nvCxnSpPr>
      <xdr:spPr>
        <a:xfrm flipV="1">
          <a:off x="762000" y="2349915"/>
          <a:ext cx="3810000" cy="5358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236295</xdr:colOff>
      <xdr:row>10</xdr:row>
      <xdr:rowOff>142875</xdr:rowOff>
    </xdr:from>
    <xdr:to>
      <xdr:col>21</xdr:col>
      <xdr:colOff>0</xdr:colOff>
      <xdr:row>13</xdr:row>
      <xdr:rowOff>80478</xdr:rowOff>
    </xdr:to>
    <xdr:sp macro="" textlink="">
      <xdr:nvSpPr>
        <xdr:cNvPr id="97" name="Diagrama de flujo: decisión 96">
          <a:extLst>
            <a:ext uri="{FF2B5EF4-FFF2-40B4-BE49-F238E27FC236}">
              <a16:creationId xmlns:a16="http://schemas.microsoft.com/office/drawing/2014/main" id="{CF03DE9D-4029-4A50-8AA4-5FCAE2472556}"/>
            </a:ext>
          </a:extLst>
        </xdr:cNvPr>
        <xdr:cNvSpPr/>
      </xdr:nvSpPr>
      <xdr:spPr>
        <a:xfrm>
          <a:off x="17143170" y="2428875"/>
          <a:ext cx="525705" cy="509103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122294</xdr:colOff>
      <xdr:row>10</xdr:row>
      <xdr:rowOff>135481</xdr:rowOff>
    </xdr:from>
    <xdr:to>
      <xdr:col>4</xdr:col>
      <xdr:colOff>647999</xdr:colOff>
      <xdr:row>13</xdr:row>
      <xdr:rowOff>73084</xdr:rowOff>
    </xdr:to>
    <xdr:sp macro="" textlink="">
      <xdr:nvSpPr>
        <xdr:cNvPr id="99" name="Diagrama de flujo: decisión 98">
          <a:extLst>
            <a:ext uri="{FF2B5EF4-FFF2-40B4-BE49-F238E27FC236}">
              <a16:creationId xmlns:a16="http://schemas.microsoft.com/office/drawing/2014/main" id="{018E39D7-D4AE-4DF8-8454-A0373F6ACD62}"/>
            </a:ext>
          </a:extLst>
        </xdr:cNvPr>
        <xdr:cNvSpPr/>
      </xdr:nvSpPr>
      <xdr:spPr>
        <a:xfrm>
          <a:off x="4694294" y="2466305"/>
          <a:ext cx="525705" cy="509103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503897</xdr:colOff>
      <xdr:row>17</xdr:row>
      <xdr:rowOff>180975</xdr:rowOff>
    </xdr:from>
    <xdr:to>
      <xdr:col>7</xdr:col>
      <xdr:colOff>267602</xdr:colOff>
      <xdr:row>20</xdr:row>
      <xdr:rowOff>36317</xdr:rowOff>
    </xdr:to>
    <xdr:sp macro="" textlink="">
      <xdr:nvSpPr>
        <xdr:cNvPr id="101" name="Diagrama de flujo: decisión 100">
          <a:extLst>
            <a:ext uri="{FF2B5EF4-FFF2-40B4-BE49-F238E27FC236}">
              <a16:creationId xmlns:a16="http://schemas.microsoft.com/office/drawing/2014/main" id="{5FE3ADCC-FF61-424E-AA56-3EE20DDF3907}"/>
            </a:ext>
          </a:extLst>
        </xdr:cNvPr>
        <xdr:cNvSpPr/>
      </xdr:nvSpPr>
      <xdr:spPr>
        <a:xfrm>
          <a:off x="6599897" y="3810000"/>
          <a:ext cx="525705" cy="493517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20</xdr:col>
      <xdr:colOff>499148</xdr:colOff>
      <xdr:row>10</xdr:row>
      <xdr:rowOff>0</xdr:rowOff>
    </xdr:from>
    <xdr:to>
      <xdr:col>20</xdr:col>
      <xdr:colOff>499148</xdr:colOff>
      <xdr:row>10</xdr:row>
      <xdr:rowOff>142875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984EAE71-DCA1-4075-AF5A-18075E849C64}"/>
            </a:ext>
          </a:extLst>
        </xdr:cNvPr>
        <xdr:cNvCxnSpPr>
          <a:stCxn id="97" idx="0"/>
        </xdr:cNvCxnSpPr>
      </xdr:nvCxnSpPr>
      <xdr:spPr>
        <a:xfrm flipV="1">
          <a:off x="17395670" y="2319130"/>
          <a:ext cx="0" cy="142875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385147</xdr:colOff>
      <xdr:row>10</xdr:row>
      <xdr:rowOff>0</xdr:rowOff>
    </xdr:from>
    <xdr:to>
      <xdr:col>4</xdr:col>
      <xdr:colOff>385147</xdr:colOff>
      <xdr:row>10</xdr:row>
      <xdr:rowOff>135481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3D4F4FF8-30E2-437C-BE9E-6CED58768D95}"/>
            </a:ext>
          </a:extLst>
        </xdr:cNvPr>
        <xdr:cNvCxnSpPr>
          <a:stCxn id="99" idx="0"/>
        </xdr:cNvCxnSpPr>
      </xdr:nvCxnSpPr>
      <xdr:spPr>
        <a:xfrm flipV="1">
          <a:off x="4957147" y="2319130"/>
          <a:ext cx="0" cy="135481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</xdr:row>
      <xdr:rowOff>203896</xdr:rowOff>
    </xdr:from>
    <xdr:to>
      <xdr:col>6</xdr:col>
      <xdr:colOff>503897</xdr:colOff>
      <xdr:row>18</xdr:row>
      <xdr:rowOff>203896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02C3731C-8254-4D1B-88C2-6DE1C070F576}"/>
            </a:ext>
          </a:extLst>
        </xdr:cNvPr>
        <xdr:cNvCxnSpPr>
          <a:endCxn id="101" idx="1"/>
        </xdr:cNvCxnSpPr>
      </xdr:nvCxnSpPr>
      <xdr:spPr>
        <a:xfrm>
          <a:off x="6096000" y="4125955"/>
          <a:ext cx="503897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30</xdr:row>
      <xdr:rowOff>3896</xdr:rowOff>
    </xdr:from>
    <xdr:to>
      <xdr:col>6</xdr:col>
      <xdr:colOff>187261</xdr:colOff>
      <xdr:row>30</xdr:row>
      <xdr:rowOff>3897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35F49B65-716C-4BD7-A3B5-E243100D23B5}"/>
            </a:ext>
          </a:extLst>
        </xdr:cNvPr>
        <xdr:cNvCxnSpPr>
          <a:endCxn id="10" idx="2"/>
        </xdr:cNvCxnSpPr>
      </xdr:nvCxnSpPr>
      <xdr:spPr>
        <a:xfrm flipV="1">
          <a:off x="6096000" y="6335220"/>
          <a:ext cx="187261" cy="1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34668</xdr:colOff>
      <xdr:row>82</xdr:row>
      <xdr:rowOff>168088</xdr:rowOff>
    </xdr:from>
    <xdr:to>
      <xdr:col>9</xdr:col>
      <xdr:colOff>34668</xdr:colOff>
      <xdr:row>84</xdr:row>
      <xdr:rowOff>179294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807B204C-AD2B-8A56-84D8-66BEED14A9CD}"/>
            </a:ext>
          </a:extLst>
        </xdr:cNvPr>
        <xdr:cNvSpPr txBox="1"/>
      </xdr:nvSpPr>
      <xdr:spPr>
        <a:xfrm>
          <a:off x="7654668" y="16741588"/>
          <a:ext cx="76200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</a:t>
          </a:r>
        </a:p>
      </xdr:txBody>
    </xdr:sp>
    <xdr:clientData/>
  </xdr:twoCellAnchor>
  <xdr:twoCellAnchor>
    <xdr:from>
      <xdr:col>14</xdr:col>
      <xdr:colOff>67235</xdr:colOff>
      <xdr:row>82</xdr:row>
      <xdr:rowOff>179294</xdr:rowOff>
    </xdr:from>
    <xdr:to>
      <xdr:col>15</xdr:col>
      <xdr:colOff>0</xdr:colOff>
      <xdr:row>85</xdr:row>
      <xdr:rowOff>0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2B06C59A-77B7-41A5-9FC8-FFC649392DE3}"/>
            </a:ext>
          </a:extLst>
        </xdr:cNvPr>
        <xdr:cNvSpPr txBox="1"/>
      </xdr:nvSpPr>
      <xdr:spPr>
        <a:xfrm>
          <a:off x="12259235" y="16752794"/>
          <a:ext cx="76200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2</a:t>
          </a:r>
        </a:p>
      </xdr:txBody>
    </xdr:sp>
    <xdr:clientData/>
  </xdr:twoCellAnchor>
  <xdr:twoCellAnchor>
    <xdr:from>
      <xdr:col>20</xdr:col>
      <xdr:colOff>704755</xdr:colOff>
      <xdr:row>82</xdr:row>
      <xdr:rowOff>168088</xdr:rowOff>
    </xdr:from>
    <xdr:to>
      <xdr:col>21</xdr:col>
      <xdr:colOff>704755</xdr:colOff>
      <xdr:row>84</xdr:row>
      <xdr:rowOff>179294</xdr:rowOff>
    </xdr:to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F4AFFE82-9EC6-4002-8669-6D58953C30D7}"/>
            </a:ext>
          </a:extLst>
        </xdr:cNvPr>
        <xdr:cNvSpPr txBox="1"/>
      </xdr:nvSpPr>
      <xdr:spPr>
        <a:xfrm>
          <a:off x="17603226" y="16741588"/>
          <a:ext cx="76200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3</a:t>
          </a:r>
        </a:p>
      </xdr:txBody>
    </xdr:sp>
    <xdr:clientData/>
  </xdr:twoCellAnchor>
  <xdr:twoCellAnchor>
    <xdr:from>
      <xdr:col>24</xdr:col>
      <xdr:colOff>443565</xdr:colOff>
      <xdr:row>46</xdr:row>
      <xdr:rowOff>3042</xdr:rowOff>
    </xdr:from>
    <xdr:to>
      <xdr:col>25</xdr:col>
      <xdr:colOff>300954</xdr:colOff>
      <xdr:row>47</xdr:row>
      <xdr:rowOff>195943</xdr:rowOff>
    </xdr:to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4BAFDAD6-23B4-40B1-9525-0F61B5DD2D62}"/>
            </a:ext>
          </a:extLst>
        </xdr:cNvPr>
        <xdr:cNvSpPr txBox="1"/>
      </xdr:nvSpPr>
      <xdr:spPr>
        <a:xfrm>
          <a:off x="18105636" y="9242292"/>
          <a:ext cx="619389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4</a:t>
          </a:r>
        </a:p>
      </xdr:txBody>
    </xdr:sp>
    <xdr:clientData/>
  </xdr:twoCellAnchor>
  <xdr:twoCellAnchor>
    <xdr:from>
      <xdr:col>26</xdr:col>
      <xdr:colOff>236295</xdr:colOff>
      <xdr:row>29</xdr:row>
      <xdr:rowOff>0</xdr:rowOff>
    </xdr:from>
    <xdr:to>
      <xdr:col>27</xdr:col>
      <xdr:colOff>11206</xdr:colOff>
      <xdr:row>31</xdr:row>
      <xdr:rowOff>11206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B40EA863-6A5C-47D3-AAF3-F129F8E8196A}"/>
            </a:ext>
          </a:extLst>
        </xdr:cNvPr>
        <xdr:cNvSpPr txBox="1"/>
      </xdr:nvSpPr>
      <xdr:spPr>
        <a:xfrm>
          <a:off x="21706766" y="6140824"/>
          <a:ext cx="536911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5</a:t>
          </a:r>
        </a:p>
      </xdr:txBody>
    </xdr:sp>
    <xdr:clientData/>
  </xdr:twoCellAnchor>
  <xdr:twoCellAnchor>
    <xdr:from>
      <xdr:col>35</xdr:col>
      <xdr:colOff>191473</xdr:colOff>
      <xdr:row>28</xdr:row>
      <xdr:rowOff>190500</xdr:rowOff>
    </xdr:from>
    <xdr:to>
      <xdr:col>35</xdr:col>
      <xdr:colOff>739589</xdr:colOff>
      <xdr:row>31</xdr:row>
      <xdr:rowOff>0</xdr:rowOff>
    </xdr:to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839E5230-8B43-4304-B8BB-4B8DC141EAC1}"/>
            </a:ext>
          </a:extLst>
        </xdr:cNvPr>
        <xdr:cNvSpPr txBox="1"/>
      </xdr:nvSpPr>
      <xdr:spPr>
        <a:xfrm>
          <a:off x="28519944" y="6129618"/>
          <a:ext cx="548116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6</a:t>
          </a:r>
        </a:p>
      </xdr:txBody>
    </xdr:sp>
    <xdr:clientData/>
  </xdr:twoCellAnchor>
  <xdr:twoCellAnchor>
    <xdr:from>
      <xdr:col>40</xdr:col>
      <xdr:colOff>123265</xdr:colOff>
      <xdr:row>40</xdr:row>
      <xdr:rowOff>0</xdr:rowOff>
    </xdr:from>
    <xdr:to>
      <xdr:col>41</xdr:col>
      <xdr:colOff>123265</xdr:colOff>
      <xdr:row>42</xdr:row>
      <xdr:rowOff>0</xdr:rowOff>
    </xdr:to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84762676-0E7C-4634-BC9B-AA4E6BCF6C58}"/>
            </a:ext>
          </a:extLst>
        </xdr:cNvPr>
        <xdr:cNvSpPr txBox="1"/>
      </xdr:nvSpPr>
      <xdr:spPr>
        <a:xfrm>
          <a:off x="32261736" y="8281147"/>
          <a:ext cx="76200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7</a:t>
          </a:r>
        </a:p>
      </xdr:txBody>
    </xdr:sp>
    <xdr:clientData/>
  </xdr:twoCellAnchor>
  <xdr:twoCellAnchor>
    <xdr:from>
      <xdr:col>20</xdr:col>
      <xdr:colOff>236295</xdr:colOff>
      <xdr:row>11</xdr:row>
      <xdr:rowOff>0</xdr:rowOff>
    </xdr:from>
    <xdr:to>
      <xdr:col>21</xdr:col>
      <xdr:colOff>22411</xdr:colOff>
      <xdr:row>13</xdr:row>
      <xdr:rowOff>11206</xdr:rowOff>
    </xdr:to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519889CC-B20F-4B9D-8C97-ADED1107992C}"/>
            </a:ext>
          </a:extLst>
        </xdr:cNvPr>
        <xdr:cNvSpPr txBox="1"/>
      </xdr:nvSpPr>
      <xdr:spPr>
        <a:xfrm>
          <a:off x="14850366" y="2149929"/>
          <a:ext cx="548116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8</a:t>
          </a:r>
        </a:p>
      </xdr:txBody>
    </xdr:sp>
    <xdr:clientData/>
  </xdr:twoCellAnchor>
  <xdr:twoCellAnchor>
    <xdr:from>
      <xdr:col>4</xdr:col>
      <xdr:colOff>115964</xdr:colOff>
      <xdr:row>10</xdr:row>
      <xdr:rowOff>179294</xdr:rowOff>
    </xdr:from>
    <xdr:to>
      <xdr:col>4</xdr:col>
      <xdr:colOff>664080</xdr:colOff>
      <xdr:row>13</xdr:row>
      <xdr:rowOff>0</xdr:rowOff>
    </xdr:to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E56CEE66-3658-49FE-AED4-C51BA4169DED}"/>
            </a:ext>
          </a:extLst>
        </xdr:cNvPr>
        <xdr:cNvSpPr txBox="1"/>
      </xdr:nvSpPr>
      <xdr:spPr>
        <a:xfrm>
          <a:off x="4687964" y="2510118"/>
          <a:ext cx="548116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9</a:t>
          </a:r>
        </a:p>
      </xdr:txBody>
    </xdr:sp>
    <xdr:clientData/>
  </xdr:twoCellAnchor>
  <xdr:twoCellAnchor>
    <xdr:from>
      <xdr:col>6</xdr:col>
      <xdr:colOff>503896</xdr:colOff>
      <xdr:row>18</xdr:row>
      <xdr:rowOff>0</xdr:rowOff>
    </xdr:from>
    <xdr:to>
      <xdr:col>7</xdr:col>
      <xdr:colOff>267601</xdr:colOff>
      <xdr:row>19</xdr:row>
      <xdr:rowOff>177694</xdr:rowOff>
    </xdr:to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9F3A882-F5B8-4A7B-8AFC-B204F754538C}"/>
            </a:ext>
          </a:extLst>
        </xdr:cNvPr>
        <xdr:cNvSpPr txBox="1"/>
      </xdr:nvSpPr>
      <xdr:spPr>
        <a:xfrm>
          <a:off x="4381932" y="3619500"/>
          <a:ext cx="525705" cy="395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10</a:t>
          </a:r>
        </a:p>
      </xdr:txBody>
    </xdr:sp>
    <xdr:clientData/>
  </xdr:twoCellAnchor>
  <xdr:twoCellAnchor>
    <xdr:from>
      <xdr:col>11</xdr:col>
      <xdr:colOff>0</xdr:colOff>
      <xdr:row>83</xdr:row>
      <xdr:rowOff>0</xdr:rowOff>
    </xdr:from>
    <xdr:to>
      <xdr:col>12</xdr:col>
      <xdr:colOff>0</xdr:colOff>
      <xdr:row>85</xdr:row>
      <xdr:rowOff>11206</xdr:rowOff>
    </xdr:to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7E38492B-8B44-46E8-BBCE-2BF2834F26AE}"/>
            </a:ext>
          </a:extLst>
        </xdr:cNvPr>
        <xdr:cNvSpPr txBox="1"/>
      </xdr:nvSpPr>
      <xdr:spPr>
        <a:xfrm>
          <a:off x="9906000" y="16764000"/>
          <a:ext cx="76200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P-201</a:t>
          </a:r>
        </a:p>
      </xdr:txBody>
    </xdr:sp>
    <xdr:clientData/>
  </xdr:twoCellAnchor>
  <xdr:twoCellAnchor>
    <xdr:from>
      <xdr:col>17</xdr:col>
      <xdr:colOff>182217</xdr:colOff>
      <xdr:row>82</xdr:row>
      <xdr:rowOff>163606</xdr:rowOff>
    </xdr:from>
    <xdr:to>
      <xdr:col>18</xdr:col>
      <xdr:colOff>571499</xdr:colOff>
      <xdr:row>84</xdr:row>
      <xdr:rowOff>174812</xdr:rowOff>
    </xdr:to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B4FAE7CE-2ED4-4569-9123-6756D55B9210}"/>
            </a:ext>
          </a:extLst>
        </xdr:cNvPr>
        <xdr:cNvSpPr txBox="1"/>
      </xdr:nvSpPr>
      <xdr:spPr>
        <a:xfrm>
          <a:off x="14794688" y="16737106"/>
          <a:ext cx="1151282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E-201</a:t>
          </a:r>
        </a:p>
      </xdr:txBody>
    </xdr:sp>
    <xdr:clientData/>
  </xdr:twoCellAnchor>
  <xdr:twoCellAnchor>
    <xdr:from>
      <xdr:col>24</xdr:col>
      <xdr:colOff>16460</xdr:colOff>
      <xdr:row>59</xdr:row>
      <xdr:rowOff>33618</xdr:rowOff>
    </xdr:from>
    <xdr:to>
      <xdr:col>26</xdr:col>
      <xdr:colOff>0</xdr:colOff>
      <xdr:row>61</xdr:row>
      <xdr:rowOff>33618</xdr:rowOff>
    </xdr:to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DF9D719E-0F10-4CDB-960F-DDBE51A99954}"/>
            </a:ext>
          </a:extLst>
        </xdr:cNvPr>
        <xdr:cNvSpPr txBox="1"/>
      </xdr:nvSpPr>
      <xdr:spPr>
        <a:xfrm>
          <a:off x="19962931" y="12091147"/>
          <a:ext cx="1507540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V-202A/B</a:t>
          </a:r>
        </a:p>
      </xdr:txBody>
    </xdr:sp>
    <xdr:clientData/>
  </xdr:twoCellAnchor>
  <xdr:twoCellAnchor>
    <xdr:from>
      <xdr:col>25</xdr:col>
      <xdr:colOff>0</xdr:colOff>
      <xdr:row>36</xdr:row>
      <xdr:rowOff>11206</xdr:rowOff>
    </xdr:from>
    <xdr:to>
      <xdr:col>26</xdr:col>
      <xdr:colOff>389282</xdr:colOff>
      <xdr:row>38</xdr:row>
      <xdr:rowOff>0</xdr:rowOff>
    </xdr:to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8136187F-A37F-4E17-999F-542334887BD3}"/>
            </a:ext>
          </a:extLst>
        </xdr:cNvPr>
        <xdr:cNvSpPr txBox="1"/>
      </xdr:nvSpPr>
      <xdr:spPr>
        <a:xfrm>
          <a:off x="20708471" y="7507941"/>
          <a:ext cx="1151282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VL-201</a:t>
          </a:r>
        </a:p>
      </xdr:txBody>
    </xdr:sp>
    <xdr:clientData/>
  </xdr:twoCellAnchor>
  <xdr:twoCellAnchor>
    <xdr:from>
      <xdr:col>30</xdr:col>
      <xdr:colOff>179297</xdr:colOff>
      <xdr:row>28</xdr:row>
      <xdr:rowOff>190500</xdr:rowOff>
    </xdr:from>
    <xdr:to>
      <xdr:col>31</xdr:col>
      <xdr:colOff>568579</xdr:colOff>
      <xdr:row>31</xdr:row>
      <xdr:rowOff>0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97474F44-9EC3-41DB-9127-10461BF1390E}"/>
            </a:ext>
          </a:extLst>
        </xdr:cNvPr>
        <xdr:cNvSpPr txBox="1"/>
      </xdr:nvSpPr>
      <xdr:spPr>
        <a:xfrm>
          <a:off x="24697768" y="6129618"/>
          <a:ext cx="1151282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E-202</a:t>
          </a:r>
        </a:p>
      </xdr:txBody>
    </xdr:sp>
    <xdr:clientData/>
  </xdr:twoCellAnchor>
  <xdr:twoCellAnchor>
    <xdr:from>
      <xdr:col>36</xdr:col>
      <xdr:colOff>372718</xdr:colOff>
      <xdr:row>33</xdr:row>
      <xdr:rowOff>1</xdr:rowOff>
    </xdr:from>
    <xdr:to>
      <xdr:col>38</xdr:col>
      <xdr:colOff>0</xdr:colOff>
      <xdr:row>35</xdr:row>
      <xdr:rowOff>11207</xdr:rowOff>
    </xdr:to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737E2094-187C-4EB4-B641-EC875DDBA5A4}"/>
            </a:ext>
          </a:extLst>
        </xdr:cNvPr>
        <xdr:cNvSpPr txBox="1"/>
      </xdr:nvSpPr>
      <xdr:spPr>
        <a:xfrm>
          <a:off x="27257031" y="6536532"/>
          <a:ext cx="1151282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V-203A/B</a:t>
          </a:r>
        </a:p>
      </xdr:txBody>
    </xdr:sp>
    <xdr:clientData/>
  </xdr:twoCellAnchor>
  <xdr:twoCellAnchor>
    <xdr:from>
      <xdr:col>6</xdr:col>
      <xdr:colOff>187261</xdr:colOff>
      <xdr:row>28</xdr:row>
      <xdr:rowOff>184653</xdr:rowOff>
    </xdr:from>
    <xdr:to>
      <xdr:col>7</xdr:col>
      <xdr:colOff>576543</xdr:colOff>
      <xdr:row>30</xdr:row>
      <xdr:rowOff>184653</xdr:rowOff>
    </xdr:to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4E414D82-28C5-4127-A1D8-7576B9F2FE09}"/>
            </a:ext>
          </a:extLst>
        </xdr:cNvPr>
        <xdr:cNvSpPr txBox="1"/>
      </xdr:nvSpPr>
      <xdr:spPr>
        <a:xfrm>
          <a:off x="6283261" y="6123771"/>
          <a:ext cx="1151282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E-203</a:t>
          </a:r>
        </a:p>
      </xdr:txBody>
    </xdr:sp>
    <xdr:clientData/>
  </xdr:twoCellAnchor>
  <xdr:twoCellAnchor>
    <xdr:from>
      <xdr:col>6</xdr:col>
      <xdr:colOff>0</xdr:colOff>
      <xdr:row>45</xdr:row>
      <xdr:rowOff>179935</xdr:rowOff>
    </xdr:from>
    <xdr:to>
      <xdr:col>8</xdr:col>
      <xdr:colOff>0</xdr:colOff>
      <xdr:row>64</xdr:row>
      <xdr:rowOff>81643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9498A17F-A483-7DFE-62D1-760460B18F09}"/>
            </a:ext>
          </a:extLst>
        </xdr:cNvPr>
        <xdr:cNvSpPr/>
      </xdr:nvSpPr>
      <xdr:spPr>
        <a:xfrm>
          <a:off x="3810000" y="9116870"/>
          <a:ext cx="1524000" cy="3587469"/>
        </a:xfrm>
        <a:prstGeom prst="roundRect">
          <a:avLst>
            <a:gd name="adj" fmla="val 34080"/>
          </a:avLst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0</xdr:colOff>
      <xdr:row>33</xdr:row>
      <xdr:rowOff>13640</xdr:rowOff>
    </xdr:from>
    <xdr:to>
      <xdr:col>7</xdr:col>
      <xdr:colOff>902</xdr:colOff>
      <xdr:row>45</xdr:row>
      <xdr:rowOff>179935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339A6E78-4A27-48DD-4447-09CA3071D7CE}"/>
            </a:ext>
          </a:extLst>
        </xdr:cNvPr>
        <xdr:cNvCxnSpPr>
          <a:stCxn id="10" idx="4"/>
          <a:endCxn id="8" idx="0"/>
        </xdr:cNvCxnSpPr>
      </xdr:nvCxnSpPr>
      <xdr:spPr>
        <a:xfrm flipH="1">
          <a:off x="4572000" y="6507205"/>
          <a:ext cx="902" cy="260966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48</xdr:row>
      <xdr:rowOff>1</xdr:rowOff>
    </xdr:from>
    <xdr:to>
      <xdr:col>7</xdr:col>
      <xdr:colOff>761999</xdr:colOff>
      <xdr:row>62</xdr:row>
      <xdr:rowOff>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3A1118D6-C3A8-43EB-9DA0-51A7E0C49D37}"/>
            </a:ext>
          </a:extLst>
        </xdr:cNvPr>
        <xdr:cNvSpPr txBox="1"/>
      </xdr:nvSpPr>
      <xdr:spPr>
        <a:xfrm>
          <a:off x="3810000" y="9533284"/>
          <a:ext cx="1523999" cy="2700129"/>
        </a:xfrm>
        <a:prstGeom prst="rect">
          <a:avLst/>
        </a:prstGeom>
        <a:noFill/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V-201</a:t>
          </a:r>
        </a:p>
      </xdr:txBody>
    </xdr:sp>
    <xdr:clientData/>
  </xdr:twoCellAnchor>
  <xdr:twoCellAnchor>
    <xdr:from>
      <xdr:col>6</xdr:col>
      <xdr:colOff>503897</xdr:colOff>
      <xdr:row>37</xdr:row>
      <xdr:rowOff>76004</xdr:rowOff>
    </xdr:from>
    <xdr:to>
      <xdr:col>7</xdr:col>
      <xdr:colOff>267602</xdr:colOff>
      <xdr:row>40</xdr:row>
      <xdr:rowOff>0</xdr:rowOff>
    </xdr:to>
    <xdr:sp macro="" textlink="">
      <xdr:nvSpPr>
        <xdr:cNvPr id="36" name="Diagrama de flujo: decisión 35">
          <a:extLst>
            <a:ext uri="{FF2B5EF4-FFF2-40B4-BE49-F238E27FC236}">
              <a16:creationId xmlns:a16="http://schemas.microsoft.com/office/drawing/2014/main" id="{1635A830-8B65-4F31-87D5-E4082FE5790B}"/>
            </a:ext>
          </a:extLst>
        </xdr:cNvPr>
        <xdr:cNvSpPr/>
      </xdr:nvSpPr>
      <xdr:spPr>
        <a:xfrm>
          <a:off x="4313897" y="7423861"/>
          <a:ext cx="525705" cy="509103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481486</xdr:colOff>
      <xdr:row>37</xdr:row>
      <xdr:rowOff>135270</xdr:rowOff>
    </xdr:from>
    <xdr:to>
      <xdr:col>7</xdr:col>
      <xdr:colOff>267602</xdr:colOff>
      <xdr:row>39</xdr:row>
      <xdr:rowOff>136071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F2E3B914-FF2A-4523-800C-DCBEFB1C71D6}"/>
            </a:ext>
          </a:extLst>
        </xdr:cNvPr>
        <xdr:cNvSpPr txBox="1"/>
      </xdr:nvSpPr>
      <xdr:spPr>
        <a:xfrm>
          <a:off x="4291486" y="7483127"/>
          <a:ext cx="548116" cy="395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11</a:t>
          </a:r>
        </a:p>
      </xdr:txBody>
    </xdr:sp>
    <xdr:clientData/>
  </xdr:twoCellAnchor>
  <xdr:twoCellAnchor>
    <xdr:from>
      <xdr:col>5</xdr:col>
      <xdr:colOff>739830</xdr:colOff>
      <xdr:row>38</xdr:row>
      <xdr:rowOff>131529</xdr:rowOff>
    </xdr:from>
    <xdr:to>
      <xdr:col>6</xdr:col>
      <xdr:colOff>481486</xdr:colOff>
      <xdr:row>38</xdr:row>
      <xdr:rowOff>131529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2824396E-8CB2-4366-82AD-2E5E2DF6F31B}"/>
            </a:ext>
          </a:extLst>
        </xdr:cNvPr>
        <xdr:cNvCxnSpPr>
          <a:stCxn id="34" idx="1"/>
        </xdr:cNvCxnSpPr>
      </xdr:nvCxnSpPr>
      <xdr:spPr>
        <a:xfrm flipH="1">
          <a:off x="3787830" y="7602442"/>
          <a:ext cx="503656" cy="0"/>
        </a:xfrm>
        <a:prstGeom prst="line">
          <a:avLst/>
        </a:prstGeom>
        <a:ln w="1905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58</xdr:row>
      <xdr:rowOff>0</xdr:rowOff>
    </xdr:from>
    <xdr:to>
      <xdr:col>24</xdr:col>
      <xdr:colOff>16460</xdr:colOff>
      <xdr:row>58</xdr:row>
      <xdr:rowOff>0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563358C7-4E87-40F7-BCEF-A2168A82ED3B}"/>
            </a:ext>
          </a:extLst>
        </xdr:cNvPr>
        <xdr:cNvCxnSpPr/>
      </xdr:nvCxnSpPr>
      <xdr:spPr>
        <a:xfrm>
          <a:off x="13852071" y="11566071"/>
          <a:ext cx="382646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77</xdr:row>
      <xdr:rowOff>0</xdr:rowOff>
    </xdr:from>
    <xdr:to>
      <xdr:col>31</xdr:col>
      <xdr:colOff>16460</xdr:colOff>
      <xdr:row>77</xdr:row>
      <xdr:rowOff>0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A4D0B056-5385-4CB7-8365-CA5BD815F1FA}"/>
            </a:ext>
          </a:extLst>
        </xdr:cNvPr>
        <xdr:cNvCxnSpPr/>
      </xdr:nvCxnSpPr>
      <xdr:spPr>
        <a:xfrm>
          <a:off x="19186071" y="15321643"/>
          <a:ext cx="382646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134240</xdr:colOff>
      <xdr:row>75</xdr:row>
      <xdr:rowOff>123825</xdr:rowOff>
    </xdr:from>
    <xdr:to>
      <xdr:col>28</xdr:col>
      <xdr:colOff>659945</xdr:colOff>
      <xdr:row>78</xdr:row>
      <xdr:rowOff>58470</xdr:rowOff>
    </xdr:to>
    <xdr:sp macro="" textlink="">
      <xdr:nvSpPr>
        <xdr:cNvPr id="53" name="Diagrama de flujo: decisión 52">
          <a:extLst>
            <a:ext uri="{FF2B5EF4-FFF2-40B4-BE49-F238E27FC236}">
              <a16:creationId xmlns:a16="http://schemas.microsoft.com/office/drawing/2014/main" id="{81B48067-15DE-4248-8B52-4C634D6E4FF1}"/>
            </a:ext>
          </a:extLst>
        </xdr:cNvPr>
        <xdr:cNvSpPr/>
      </xdr:nvSpPr>
      <xdr:spPr>
        <a:xfrm>
          <a:off x="20841590" y="14944725"/>
          <a:ext cx="525705" cy="515670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21</xdr:col>
      <xdr:colOff>106605</xdr:colOff>
      <xdr:row>56</xdr:row>
      <xdr:rowOff>142875</xdr:rowOff>
    </xdr:from>
    <xdr:to>
      <xdr:col>21</xdr:col>
      <xdr:colOff>632310</xdr:colOff>
      <xdr:row>59</xdr:row>
      <xdr:rowOff>87045</xdr:rowOff>
    </xdr:to>
    <xdr:sp macro="" textlink="">
      <xdr:nvSpPr>
        <xdr:cNvPr id="57" name="Diagrama de flujo: decisión 56">
          <a:extLst>
            <a:ext uri="{FF2B5EF4-FFF2-40B4-BE49-F238E27FC236}">
              <a16:creationId xmlns:a16="http://schemas.microsoft.com/office/drawing/2014/main" id="{BAE75A23-4BEA-483D-AB18-D06A900854D4}"/>
            </a:ext>
          </a:extLst>
        </xdr:cNvPr>
        <xdr:cNvSpPr/>
      </xdr:nvSpPr>
      <xdr:spPr>
        <a:xfrm>
          <a:off x="15479955" y="11249025"/>
          <a:ext cx="525705" cy="515670"/>
        </a:xfrm>
        <a:prstGeom prst="flowChartDecision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5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21</xdr:col>
      <xdr:colOff>106605</xdr:colOff>
      <xdr:row>56</xdr:row>
      <xdr:rowOff>142876</xdr:rowOff>
    </xdr:from>
    <xdr:to>
      <xdr:col>21</xdr:col>
      <xdr:colOff>632310</xdr:colOff>
      <xdr:row>59</xdr:row>
      <xdr:rowOff>87046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AAF49219-5D02-4C97-8DEB-9547B390C254}"/>
            </a:ext>
          </a:extLst>
        </xdr:cNvPr>
        <xdr:cNvSpPr txBox="1"/>
      </xdr:nvSpPr>
      <xdr:spPr>
        <a:xfrm>
          <a:off x="15481076" y="11292729"/>
          <a:ext cx="525705" cy="5156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12</a:t>
          </a:r>
        </a:p>
      </xdr:txBody>
    </xdr:sp>
    <xdr:clientData/>
  </xdr:twoCellAnchor>
  <xdr:twoCellAnchor>
    <xdr:from>
      <xdr:col>28</xdr:col>
      <xdr:colOff>134240</xdr:colOff>
      <xdr:row>76</xdr:row>
      <xdr:rowOff>4926</xdr:rowOff>
    </xdr:from>
    <xdr:to>
      <xdr:col>28</xdr:col>
      <xdr:colOff>659945</xdr:colOff>
      <xdr:row>78</xdr:row>
      <xdr:rowOff>0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F190A375-7D89-44A4-BF6F-177FB579F125}"/>
            </a:ext>
          </a:extLst>
        </xdr:cNvPr>
        <xdr:cNvSpPr txBox="1"/>
      </xdr:nvSpPr>
      <xdr:spPr>
        <a:xfrm>
          <a:off x="20840125" y="14973830"/>
          <a:ext cx="525705" cy="38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13</a:t>
          </a:r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355862</xdr:colOff>
      <xdr:row>27</xdr:row>
      <xdr:rowOff>183724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EC3FB80A-8EB5-4362-99CE-2946FB10099C}"/>
            </a:ext>
          </a:extLst>
        </xdr:cNvPr>
        <xdr:cNvCxnSpPr>
          <a:endCxn id="10" idx="1"/>
        </xdr:cNvCxnSpPr>
      </xdr:nvCxnSpPr>
      <xdr:spPr>
        <a:xfrm>
          <a:off x="3876675" y="5010150"/>
          <a:ext cx="355862" cy="564724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24</xdr:row>
      <xdr:rowOff>212911</xdr:rowOff>
    </xdr:from>
    <xdr:to>
      <xdr:col>6</xdr:col>
      <xdr:colOff>0</xdr:colOff>
      <xdr:row>25</xdr:row>
      <xdr:rowOff>0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2EF8BDBE-97F5-843F-5681-AE08937CEDA3}"/>
            </a:ext>
          </a:extLst>
        </xdr:cNvPr>
        <xdr:cNvCxnSpPr/>
      </xdr:nvCxnSpPr>
      <xdr:spPr>
        <a:xfrm flipH="1" flipV="1">
          <a:off x="762000" y="5003986"/>
          <a:ext cx="3114675" cy="6164"/>
        </a:xfrm>
        <a:prstGeom prst="line">
          <a:avLst/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407942</xdr:colOff>
      <xdr:row>32</xdr:row>
      <xdr:rowOff>25774</xdr:rowOff>
    </xdr:from>
    <xdr:to>
      <xdr:col>7</xdr:col>
      <xdr:colOff>761999</xdr:colOff>
      <xdr:row>34</xdr:row>
      <xdr:rowOff>190499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680C249D-1472-4B7D-9142-72338F196599}"/>
            </a:ext>
          </a:extLst>
        </xdr:cNvPr>
        <xdr:cNvCxnSpPr>
          <a:endCxn id="10" idx="5"/>
        </xdr:cNvCxnSpPr>
      </xdr:nvCxnSpPr>
      <xdr:spPr>
        <a:xfrm flipH="1" flipV="1">
          <a:off x="5046617" y="6436099"/>
          <a:ext cx="354057" cy="545725"/>
        </a:xfrm>
        <a:prstGeom prst="line">
          <a:avLst/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761999</xdr:colOff>
      <xdr:row>35</xdr:row>
      <xdr:rowOff>0</xdr:rowOff>
    </xdr:from>
    <xdr:to>
      <xdr:col>11</xdr:col>
      <xdr:colOff>0</xdr:colOff>
      <xdr:row>35</xdr:row>
      <xdr:rowOff>9523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C3E47ED-8E48-4B93-BF58-0CE6B8A960F3}"/>
            </a:ext>
          </a:extLst>
        </xdr:cNvPr>
        <xdr:cNvCxnSpPr/>
      </xdr:nvCxnSpPr>
      <xdr:spPr>
        <a:xfrm flipV="1">
          <a:off x="5400674" y="6981825"/>
          <a:ext cx="2286001" cy="9523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34668</xdr:colOff>
      <xdr:row>32</xdr:row>
      <xdr:rowOff>180974</xdr:rowOff>
    </xdr:from>
    <xdr:to>
      <xdr:col>10</xdr:col>
      <xdr:colOff>719225</xdr:colOff>
      <xdr:row>34</xdr:row>
      <xdr:rowOff>190499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87309A86-E86C-4555-9B41-9F91C1816539}"/>
            </a:ext>
          </a:extLst>
        </xdr:cNvPr>
        <xdr:cNvSpPr txBox="1"/>
      </xdr:nvSpPr>
      <xdr:spPr>
        <a:xfrm>
          <a:off x="6198704" y="6657974"/>
          <a:ext cx="144655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tx2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Cooling fluid</a:t>
          </a:r>
        </a:p>
      </xdr:txBody>
    </xdr:sp>
    <xdr:clientData/>
  </xdr:twoCellAnchor>
  <xdr:twoCellAnchor>
    <xdr:from>
      <xdr:col>1</xdr:col>
      <xdr:colOff>295275</xdr:colOff>
      <xdr:row>23</xdr:row>
      <xdr:rowOff>31936</xdr:rowOff>
    </xdr:from>
    <xdr:to>
      <xdr:col>4</xdr:col>
      <xdr:colOff>0</xdr:colOff>
      <xdr:row>25</xdr:row>
      <xdr:rowOff>12886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D7A8EEE6-96C6-4685-96AA-43C354B139FC}"/>
            </a:ext>
          </a:extLst>
        </xdr:cNvPr>
        <xdr:cNvSpPr txBox="1"/>
      </xdr:nvSpPr>
      <xdr:spPr>
        <a:xfrm>
          <a:off x="662668" y="4685579"/>
          <a:ext cx="1623332" cy="389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tx2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Cooling fluid</a:t>
          </a:r>
        </a:p>
      </xdr:txBody>
    </xdr:sp>
    <xdr:clientData/>
  </xdr:twoCellAnchor>
  <xdr:twoCellAnchor>
    <xdr:from>
      <xdr:col>23</xdr:col>
      <xdr:colOff>0</xdr:colOff>
      <xdr:row>56</xdr:row>
      <xdr:rowOff>0</xdr:rowOff>
    </xdr:from>
    <xdr:to>
      <xdr:col>24</xdr:col>
      <xdr:colOff>16460</xdr:colOff>
      <xdr:row>57</xdr:row>
      <xdr:rowOff>0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31E0439B-7FE7-43B1-A845-1B0A8C46CD6D}"/>
            </a:ext>
          </a:extLst>
        </xdr:cNvPr>
        <xdr:cNvCxnSpPr/>
      </xdr:nvCxnSpPr>
      <xdr:spPr>
        <a:xfrm>
          <a:off x="16968107" y="11307536"/>
          <a:ext cx="778460" cy="190500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56</xdr:row>
      <xdr:rowOff>0</xdr:rowOff>
    </xdr:from>
    <xdr:to>
      <xdr:col>23</xdr:col>
      <xdr:colOff>0</xdr:colOff>
      <xdr:row>56</xdr:row>
      <xdr:rowOff>13607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ECBBF7D6-6A4B-4FBA-AC5A-64BF683646D7}"/>
            </a:ext>
          </a:extLst>
        </xdr:cNvPr>
        <xdr:cNvCxnSpPr/>
      </xdr:nvCxnSpPr>
      <xdr:spPr>
        <a:xfrm flipH="1">
          <a:off x="13914783" y="11164957"/>
          <a:ext cx="3048000" cy="13607"/>
        </a:xfrm>
        <a:prstGeom prst="line">
          <a:avLst/>
        </a:prstGeom>
        <a:ln w="19050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78</xdr:row>
      <xdr:rowOff>0</xdr:rowOff>
    </xdr:from>
    <xdr:to>
      <xdr:col>27</xdr:col>
      <xdr:colOff>11206</xdr:colOff>
      <xdr:row>79</xdr:row>
      <xdr:rowOff>0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2247F997-89B7-4AF5-B4EE-32DAC3745398}"/>
            </a:ext>
          </a:extLst>
        </xdr:cNvPr>
        <xdr:cNvCxnSpPr/>
      </xdr:nvCxnSpPr>
      <xdr:spPr>
        <a:xfrm flipH="1" flipV="1">
          <a:off x="19251706" y="15609794"/>
          <a:ext cx="773206" cy="201706"/>
        </a:xfrm>
        <a:prstGeom prst="line">
          <a:avLst/>
        </a:prstGeom>
        <a:ln w="19050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11206</xdr:colOff>
      <xdr:row>79</xdr:row>
      <xdr:rowOff>0</xdr:rowOff>
    </xdr:from>
    <xdr:to>
      <xdr:col>31</xdr:col>
      <xdr:colOff>1</xdr:colOff>
      <xdr:row>79</xdr:row>
      <xdr:rowOff>9523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9C100D9C-C967-40E9-AB47-EF0E75802F24}"/>
            </a:ext>
          </a:extLst>
        </xdr:cNvPr>
        <xdr:cNvCxnSpPr/>
      </xdr:nvCxnSpPr>
      <xdr:spPr>
        <a:xfrm flipV="1">
          <a:off x="20024912" y="15811500"/>
          <a:ext cx="3036795" cy="9523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576591</xdr:colOff>
      <xdr:row>53</xdr:row>
      <xdr:rowOff>179295</xdr:rowOff>
    </xdr:from>
    <xdr:to>
      <xdr:col>20</xdr:col>
      <xdr:colOff>499148</xdr:colOff>
      <xdr:row>55</xdr:row>
      <xdr:rowOff>188820</xdr:rowOff>
    </xdr:to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8FA2E508-B0A9-4376-A8DE-03F6014D7D5C}"/>
            </a:ext>
          </a:extLst>
        </xdr:cNvPr>
        <xdr:cNvSpPr txBox="1"/>
      </xdr:nvSpPr>
      <xdr:spPr>
        <a:xfrm>
          <a:off x="13732297" y="10858501"/>
          <a:ext cx="144655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accent6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Heating fluid</a:t>
          </a:r>
        </a:p>
      </xdr:txBody>
    </xdr:sp>
    <xdr:clientData/>
  </xdr:twoCellAnchor>
  <xdr:twoCellAnchor>
    <xdr:from>
      <xdr:col>29</xdr:col>
      <xdr:colOff>200370</xdr:colOff>
      <xdr:row>77</xdr:row>
      <xdr:rowOff>31935</xdr:rowOff>
    </xdr:from>
    <xdr:to>
      <xdr:col>31</xdr:col>
      <xdr:colOff>122927</xdr:colOff>
      <xdr:row>79</xdr:row>
      <xdr:rowOff>19048</xdr:rowOff>
    </xdr:to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F38694FE-F384-4C32-A516-D0A54E70B840}"/>
            </a:ext>
          </a:extLst>
        </xdr:cNvPr>
        <xdr:cNvSpPr txBox="1"/>
      </xdr:nvSpPr>
      <xdr:spPr>
        <a:xfrm>
          <a:off x="21738076" y="15440023"/>
          <a:ext cx="144655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accent6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Heating fluid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37</xdr:row>
      <xdr:rowOff>186359</xdr:rowOff>
    </xdr:from>
    <xdr:to>
      <xdr:col>13</xdr:col>
      <xdr:colOff>372718</xdr:colOff>
      <xdr:row>38</xdr:row>
      <xdr:rowOff>0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404A758A-4C4F-438B-B595-D54F3A166404}"/>
            </a:ext>
          </a:extLst>
        </xdr:cNvPr>
        <xdr:cNvCxnSpPr>
          <a:stCxn id="96" idx="4"/>
          <a:endCxn id="46" idx="1"/>
        </xdr:cNvCxnSpPr>
      </xdr:nvCxnSpPr>
      <xdr:spPr>
        <a:xfrm flipV="1">
          <a:off x="6267450" y="7358684"/>
          <a:ext cx="3420718" cy="13666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35</xdr:row>
      <xdr:rowOff>182218</xdr:rowOff>
    </xdr:from>
    <xdr:to>
      <xdr:col>26</xdr:col>
      <xdr:colOff>0</xdr:colOff>
      <xdr:row>35</xdr:row>
      <xdr:rowOff>182218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97EB0419-A004-4D11-B94D-9876400461A2}"/>
            </a:ext>
          </a:extLst>
        </xdr:cNvPr>
        <xdr:cNvCxnSpPr>
          <a:stCxn id="48" idx="0"/>
        </xdr:cNvCxnSpPr>
      </xdr:nvCxnSpPr>
      <xdr:spPr>
        <a:xfrm>
          <a:off x="12573000" y="8050696"/>
          <a:ext cx="4191000" cy="0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9</xdr:row>
      <xdr:rowOff>0</xdr:rowOff>
    </xdr:from>
    <xdr:to>
      <xdr:col>20</xdr:col>
      <xdr:colOff>381000</xdr:colOff>
      <xdr:row>11</xdr:row>
      <xdr:rowOff>0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3EA59C24-1892-470F-9CF0-94136116DCD4}"/>
            </a:ext>
          </a:extLst>
        </xdr:cNvPr>
        <xdr:cNvCxnSpPr>
          <a:stCxn id="16" idx="0"/>
        </xdr:cNvCxnSpPr>
      </xdr:nvCxnSpPr>
      <xdr:spPr>
        <a:xfrm flipV="1">
          <a:off x="12573000" y="2886808"/>
          <a:ext cx="0" cy="381000"/>
        </a:xfrm>
        <a:prstGeom prst="line">
          <a:avLst/>
        </a:prstGeom>
        <a:ln w="19050">
          <a:solidFill>
            <a:schemeClr val="tx2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11</xdr:row>
      <xdr:rowOff>0</xdr:rowOff>
    </xdr:from>
    <xdr:to>
      <xdr:col>26</xdr:col>
      <xdr:colOff>0</xdr:colOff>
      <xdr:row>11</xdr:row>
      <xdr:rowOff>0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A7621F2E-01A1-4D31-A9CE-2DF911F238B7}"/>
            </a:ext>
          </a:extLst>
        </xdr:cNvPr>
        <xdr:cNvCxnSpPr>
          <a:stCxn id="16" idx="0"/>
        </xdr:cNvCxnSpPr>
      </xdr:nvCxnSpPr>
      <xdr:spPr>
        <a:xfrm>
          <a:off x="12573000" y="3238500"/>
          <a:ext cx="4191000" cy="0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14</xdr:row>
      <xdr:rowOff>0</xdr:rowOff>
    </xdr:from>
    <xdr:to>
      <xdr:col>21</xdr:col>
      <xdr:colOff>0</xdr:colOff>
      <xdr:row>16</xdr:row>
      <xdr:rowOff>0</xdr:rowOff>
    </xdr:to>
    <xdr:sp macro="" textlink="">
      <xdr:nvSpPr>
        <xdr:cNvPr id="18" name="Triángulo isósceles 17">
          <a:extLst>
            <a:ext uri="{FF2B5EF4-FFF2-40B4-BE49-F238E27FC236}">
              <a16:creationId xmlns:a16="http://schemas.microsoft.com/office/drawing/2014/main" id="{7E284E6D-78C4-425E-2EFF-C0748CF60F1E}"/>
            </a:ext>
          </a:extLst>
        </xdr:cNvPr>
        <xdr:cNvSpPr/>
      </xdr:nvSpPr>
      <xdr:spPr>
        <a:xfrm>
          <a:off x="12192000" y="3810000"/>
          <a:ext cx="762000" cy="381000"/>
        </a:xfrm>
        <a:prstGeom prst="triangle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372718</xdr:colOff>
      <xdr:row>9</xdr:row>
      <xdr:rowOff>149087</xdr:rowOff>
    </xdr:from>
    <xdr:to>
      <xdr:col>15</xdr:col>
      <xdr:colOff>0</xdr:colOff>
      <xdr:row>16</xdr:row>
      <xdr:rowOff>33544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4CFE3C5C-AF29-456C-BAD4-580A19082780}"/>
            </a:ext>
          </a:extLst>
        </xdr:cNvPr>
        <xdr:cNvSpPr/>
      </xdr:nvSpPr>
      <xdr:spPr>
        <a:xfrm>
          <a:off x="7230718" y="3006587"/>
          <a:ext cx="1151282" cy="1217957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7</xdr:col>
      <xdr:colOff>0</xdr:colOff>
      <xdr:row>13</xdr:row>
      <xdr:rowOff>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CCA87DA0-908E-48EC-68AC-0E0E4692A93E}"/>
            </a:ext>
          </a:extLst>
        </xdr:cNvPr>
        <xdr:cNvCxnSpPr>
          <a:endCxn id="83" idx="2"/>
        </xdr:cNvCxnSpPr>
      </xdr:nvCxnSpPr>
      <xdr:spPr>
        <a:xfrm>
          <a:off x="790575" y="2533650"/>
          <a:ext cx="4714875" cy="0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372718</xdr:colOff>
      <xdr:row>11</xdr:row>
      <xdr:rowOff>180975</xdr:rowOff>
    </xdr:from>
    <xdr:to>
      <xdr:col>15</xdr:col>
      <xdr:colOff>0</xdr:colOff>
      <xdr:row>14</xdr:row>
      <xdr:rowOff>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F8EB029-6692-4D63-AFC4-19ED9FCF796D}"/>
            </a:ext>
          </a:extLst>
        </xdr:cNvPr>
        <xdr:cNvSpPr txBox="1"/>
      </xdr:nvSpPr>
      <xdr:spPr>
        <a:xfrm>
          <a:off x="7230718" y="3419475"/>
          <a:ext cx="1151282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E-301</a:t>
          </a:r>
        </a:p>
      </xdr:txBody>
    </xdr:sp>
    <xdr:clientData/>
  </xdr:twoCellAnchor>
  <xdr:twoCellAnchor>
    <xdr:from>
      <xdr:col>15</xdr:col>
      <xdr:colOff>0</xdr:colOff>
      <xdr:row>12</xdr:row>
      <xdr:rowOff>185738</xdr:rowOff>
    </xdr:from>
    <xdr:to>
      <xdr:col>20</xdr:col>
      <xdr:colOff>0</xdr:colOff>
      <xdr:row>13</xdr:row>
      <xdr:rowOff>0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9D0B2EB4-891F-488F-A717-15A0DBA2CB9D}"/>
            </a:ext>
          </a:extLst>
        </xdr:cNvPr>
        <xdr:cNvCxnSpPr>
          <a:stCxn id="10" idx="3"/>
          <a:endCxn id="16" idx="2"/>
        </xdr:cNvCxnSpPr>
      </xdr:nvCxnSpPr>
      <xdr:spPr>
        <a:xfrm>
          <a:off x="8382000" y="3614738"/>
          <a:ext cx="3810000" cy="4762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11</xdr:row>
      <xdr:rowOff>0</xdr:rowOff>
    </xdr:from>
    <xdr:to>
      <xdr:col>21</xdr:col>
      <xdr:colOff>0</xdr:colOff>
      <xdr:row>15</xdr:row>
      <xdr:rowOff>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E00AC333-119C-8E4F-80C2-F40F9B5654EF}"/>
            </a:ext>
          </a:extLst>
        </xdr:cNvPr>
        <xdr:cNvSpPr/>
      </xdr:nvSpPr>
      <xdr:spPr>
        <a:xfrm>
          <a:off x="12192000" y="3238500"/>
          <a:ext cx="762000" cy="762000"/>
        </a:xfrm>
        <a:prstGeom prst="ellipse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11</xdr:row>
      <xdr:rowOff>180975</xdr:rowOff>
    </xdr:from>
    <xdr:to>
      <xdr:col>21</xdr:col>
      <xdr:colOff>0</xdr:colOff>
      <xdr:row>14</xdr:row>
      <xdr:rowOff>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A5467E03-F71E-4B92-91CC-2B564F630616}"/>
            </a:ext>
          </a:extLst>
        </xdr:cNvPr>
        <xdr:cNvSpPr txBox="1"/>
      </xdr:nvSpPr>
      <xdr:spPr>
        <a:xfrm>
          <a:off x="12192000" y="3419475"/>
          <a:ext cx="762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P-301</a:t>
          </a:r>
        </a:p>
      </xdr:txBody>
    </xdr:sp>
    <xdr:clientData/>
  </xdr:twoCellAnchor>
  <xdr:twoCellAnchor>
    <xdr:from>
      <xdr:col>4</xdr:col>
      <xdr:colOff>41413</xdr:colOff>
      <xdr:row>11</xdr:row>
      <xdr:rowOff>100755</xdr:rowOff>
    </xdr:from>
    <xdr:to>
      <xdr:col>4</xdr:col>
      <xdr:colOff>567118</xdr:colOff>
      <xdr:row>14</xdr:row>
      <xdr:rowOff>77391</xdr:rowOff>
    </xdr:to>
    <xdr:sp macro="" textlink="">
      <xdr:nvSpPr>
        <xdr:cNvPr id="22" name="Diagrama de flujo: decisión 21">
          <a:extLst>
            <a:ext uri="{FF2B5EF4-FFF2-40B4-BE49-F238E27FC236}">
              <a16:creationId xmlns:a16="http://schemas.microsoft.com/office/drawing/2014/main" id="{2D85F78F-7355-4327-AFC6-DA32B12244CB}"/>
            </a:ext>
          </a:extLst>
        </xdr:cNvPr>
        <xdr:cNvSpPr/>
      </xdr:nvSpPr>
      <xdr:spPr>
        <a:xfrm>
          <a:off x="4613413" y="3339255"/>
          <a:ext cx="525705" cy="548136"/>
        </a:xfrm>
        <a:prstGeom prst="flowChartDecision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17</xdr:col>
      <xdr:colOff>236295</xdr:colOff>
      <xdr:row>11</xdr:row>
      <xdr:rowOff>100755</xdr:rowOff>
    </xdr:from>
    <xdr:to>
      <xdr:col>18</xdr:col>
      <xdr:colOff>0</xdr:colOff>
      <xdr:row>14</xdr:row>
      <xdr:rowOff>77391</xdr:rowOff>
    </xdr:to>
    <xdr:sp macro="" textlink="">
      <xdr:nvSpPr>
        <xdr:cNvPr id="23" name="Diagrama de flujo: decisión 22">
          <a:extLst>
            <a:ext uri="{FF2B5EF4-FFF2-40B4-BE49-F238E27FC236}">
              <a16:creationId xmlns:a16="http://schemas.microsoft.com/office/drawing/2014/main" id="{726E7DD2-73D2-4D98-9F20-58F8DBA99293}"/>
            </a:ext>
          </a:extLst>
        </xdr:cNvPr>
        <xdr:cNvSpPr/>
      </xdr:nvSpPr>
      <xdr:spPr>
        <a:xfrm>
          <a:off x="10142295" y="3339255"/>
          <a:ext cx="525705" cy="548136"/>
        </a:xfrm>
        <a:prstGeom prst="flowChartDecision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23</xdr:col>
      <xdr:colOff>236295</xdr:colOff>
      <xdr:row>9</xdr:row>
      <xdr:rowOff>98756</xdr:rowOff>
    </xdr:from>
    <xdr:to>
      <xdr:col>24</xdr:col>
      <xdr:colOff>0</xdr:colOff>
      <xdr:row>12</xdr:row>
      <xdr:rowOff>75392</xdr:rowOff>
    </xdr:to>
    <xdr:sp macro="" textlink="">
      <xdr:nvSpPr>
        <xdr:cNvPr id="24" name="Diagrama de flujo: decisión 23">
          <a:extLst>
            <a:ext uri="{FF2B5EF4-FFF2-40B4-BE49-F238E27FC236}">
              <a16:creationId xmlns:a16="http://schemas.microsoft.com/office/drawing/2014/main" id="{A384C8C1-072E-49E5-B5C7-2F16947EF1A5}"/>
            </a:ext>
          </a:extLst>
        </xdr:cNvPr>
        <xdr:cNvSpPr/>
      </xdr:nvSpPr>
      <xdr:spPr>
        <a:xfrm>
          <a:off x="14714295" y="2956256"/>
          <a:ext cx="525705" cy="548136"/>
        </a:xfrm>
        <a:prstGeom prst="flowChartDecision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41412</xdr:colOff>
      <xdr:row>11</xdr:row>
      <xdr:rowOff>179732</xdr:rowOff>
    </xdr:from>
    <xdr:to>
      <xdr:col>4</xdr:col>
      <xdr:colOff>567118</xdr:colOff>
      <xdr:row>13</xdr:row>
      <xdr:rowOff>189257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8B026C8-1DC6-4B84-A069-B8F21F6A167A}"/>
            </a:ext>
          </a:extLst>
        </xdr:cNvPr>
        <xdr:cNvSpPr txBox="1"/>
      </xdr:nvSpPr>
      <xdr:spPr>
        <a:xfrm>
          <a:off x="4613412" y="3418232"/>
          <a:ext cx="525706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1</a:t>
          </a:r>
        </a:p>
      </xdr:txBody>
    </xdr:sp>
    <xdr:clientData/>
  </xdr:twoCellAnchor>
  <xdr:twoCellAnchor>
    <xdr:from>
      <xdr:col>17</xdr:col>
      <xdr:colOff>236295</xdr:colOff>
      <xdr:row>11</xdr:row>
      <xdr:rowOff>180975</xdr:rowOff>
    </xdr:from>
    <xdr:to>
      <xdr:col>18</xdr:col>
      <xdr:colOff>1</xdr:colOff>
      <xdr:row>14</xdr:row>
      <xdr:rowOff>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9BFF3DFD-72CC-44C2-B8DD-73CF7FFD3EC5}"/>
            </a:ext>
          </a:extLst>
        </xdr:cNvPr>
        <xdr:cNvSpPr txBox="1"/>
      </xdr:nvSpPr>
      <xdr:spPr>
        <a:xfrm>
          <a:off x="10142295" y="3419475"/>
          <a:ext cx="525706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3</a:t>
          </a:r>
        </a:p>
      </xdr:txBody>
    </xdr:sp>
    <xdr:clientData/>
  </xdr:twoCellAnchor>
  <xdr:twoCellAnchor>
    <xdr:from>
      <xdr:col>23</xdr:col>
      <xdr:colOff>236295</xdr:colOff>
      <xdr:row>9</xdr:row>
      <xdr:rowOff>174583</xdr:rowOff>
    </xdr:from>
    <xdr:to>
      <xdr:col>24</xdr:col>
      <xdr:colOff>0</xdr:colOff>
      <xdr:row>11</xdr:row>
      <xdr:rowOff>184108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60DFEF6E-35A5-4A4B-BB93-84A9BFB419FE}"/>
            </a:ext>
          </a:extLst>
        </xdr:cNvPr>
        <xdr:cNvSpPr txBox="1"/>
      </xdr:nvSpPr>
      <xdr:spPr>
        <a:xfrm>
          <a:off x="14714295" y="3032083"/>
          <a:ext cx="52570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4</a:t>
          </a:r>
        </a:p>
      </xdr:txBody>
    </xdr:sp>
    <xdr:clientData/>
  </xdr:twoCellAnchor>
  <xdr:twoCellAnchor>
    <xdr:from>
      <xdr:col>14</xdr:col>
      <xdr:colOff>186359</xdr:colOff>
      <xdr:row>31</xdr:row>
      <xdr:rowOff>193424</xdr:rowOff>
    </xdr:from>
    <xdr:to>
      <xdr:col>14</xdr:col>
      <xdr:colOff>186359</xdr:colOff>
      <xdr:row>34</xdr:row>
      <xdr:rowOff>140805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188A9031-D296-47CA-8A79-43BA26A1EC1C}"/>
            </a:ext>
          </a:extLst>
        </xdr:cNvPr>
        <xdr:cNvCxnSpPr>
          <a:stCxn id="44" idx="0"/>
        </xdr:cNvCxnSpPr>
      </xdr:nvCxnSpPr>
      <xdr:spPr>
        <a:xfrm flipV="1">
          <a:off x="7806359" y="7342777"/>
          <a:ext cx="0" cy="530087"/>
        </a:xfrm>
        <a:prstGeom prst="line">
          <a:avLst/>
        </a:prstGeom>
        <a:ln w="19050">
          <a:solidFill>
            <a:schemeClr val="accent6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304266</xdr:colOff>
      <xdr:row>14</xdr:row>
      <xdr:rowOff>77391</xdr:rowOff>
    </xdr:from>
    <xdr:to>
      <xdr:col>4</xdr:col>
      <xdr:colOff>304266</xdr:colOff>
      <xdr:row>15</xdr:row>
      <xdr:rowOff>0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4797CF60-C00C-4BEE-A2CA-AA8525B82F1B}"/>
            </a:ext>
          </a:extLst>
        </xdr:cNvPr>
        <xdr:cNvCxnSpPr>
          <a:endCxn id="22" idx="2"/>
        </xdr:cNvCxnSpPr>
      </xdr:nvCxnSpPr>
      <xdr:spPr>
        <a:xfrm flipV="1">
          <a:off x="4876266" y="3920521"/>
          <a:ext cx="0" cy="121392"/>
        </a:xfrm>
        <a:prstGeom prst="line">
          <a:avLst/>
        </a:prstGeom>
        <a:ln w="19050">
          <a:solidFill>
            <a:schemeClr val="tx2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499148</xdr:colOff>
      <xdr:row>14</xdr:row>
      <xdr:rowOff>77391</xdr:rowOff>
    </xdr:from>
    <xdr:to>
      <xdr:col>17</xdr:col>
      <xdr:colOff>499148</xdr:colOff>
      <xdr:row>15</xdr:row>
      <xdr:rowOff>0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FBBC6A7F-2C41-4FD7-B151-95F5AC620BA0}"/>
            </a:ext>
          </a:extLst>
        </xdr:cNvPr>
        <xdr:cNvCxnSpPr>
          <a:endCxn id="23" idx="2"/>
        </xdr:cNvCxnSpPr>
      </xdr:nvCxnSpPr>
      <xdr:spPr>
        <a:xfrm flipV="1">
          <a:off x="10405148" y="3920521"/>
          <a:ext cx="0" cy="121392"/>
        </a:xfrm>
        <a:prstGeom prst="line">
          <a:avLst/>
        </a:prstGeom>
        <a:ln w="19050">
          <a:solidFill>
            <a:schemeClr val="accent1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499148</xdr:colOff>
      <xdr:row>12</xdr:row>
      <xdr:rowOff>75392</xdr:rowOff>
    </xdr:from>
    <xdr:to>
      <xdr:col>23</xdr:col>
      <xdr:colOff>499148</xdr:colOff>
      <xdr:row>12</xdr:row>
      <xdr:rowOff>185738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8A15D215-BD73-4BF6-903A-74BD29A3A81C}"/>
            </a:ext>
          </a:extLst>
        </xdr:cNvPr>
        <xdr:cNvCxnSpPr>
          <a:endCxn id="24" idx="2"/>
        </xdr:cNvCxnSpPr>
      </xdr:nvCxnSpPr>
      <xdr:spPr>
        <a:xfrm flipV="1">
          <a:off x="14977148" y="3529240"/>
          <a:ext cx="0" cy="110346"/>
        </a:xfrm>
        <a:prstGeom prst="line">
          <a:avLst/>
        </a:prstGeom>
        <a:ln w="19050">
          <a:solidFill>
            <a:schemeClr val="accent1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39</xdr:row>
      <xdr:rowOff>0</xdr:rowOff>
    </xdr:from>
    <xdr:to>
      <xdr:col>21</xdr:col>
      <xdr:colOff>0</xdr:colOff>
      <xdr:row>41</xdr:row>
      <xdr:rowOff>8283</xdr:rowOff>
    </xdr:to>
    <xdr:sp macro="" textlink="">
      <xdr:nvSpPr>
        <xdr:cNvPr id="43" name="Triángulo isósceles 42">
          <a:extLst>
            <a:ext uri="{FF2B5EF4-FFF2-40B4-BE49-F238E27FC236}">
              <a16:creationId xmlns:a16="http://schemas.microsoft.com/office/drawing/2014/main" id="{22DF7F1D-3E42-4915-A821-CE287C852048}"/>
            </a:ext>
          </a:extLst>
        </xdr:cNvPr>
        <xdr:cNvSpPr/>
      </xdr:nvSpPr>
      <xdr:spPr>
        <a:xfrm>
          <a:off x="12192000" y="8630478"/>
          <a:ext cx="762000" cy="389283"/>
        </a:xfrm>
        <a:prstGeom prst="triangle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372718</xdr:colOff>
      <xdr:row>34</xdr:row>
      <xdr:rowOff>140805</xdr:rowOff>
    </xdr:from>
    <xdr:to>
      <xdr:col>15</xdr:col>
      <xdr:colOff>0</xdr:colOff>
      <xdr:row>41</xdr:row>
      <xdr:rowOff>41827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3AAD7A7B-825A-4D18-961C-D7EC20072A90}"/>
            </a:ext>
          </a:extLst>
        </xdr:cNvPr>
        <xdr:cNvSpPr/>
      </xdr:nvSpPr>
      <xdr:spPr>
        <a:xfrm>
          <a:off x="7230718" y="7818783"/>
          <a:ext cx="1151282" cy="1234522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38</xdr:row>
      <xdr:rowOff>0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1A577284-09D6-434A-AE76-EDD2EFB0700E}"/>
            </a:ext>
          </a:extLst>
        </xdr:cNvPr>
        <xdr:cNvCxnSpPr>
          <a:endCxn id="96" idx="2"/>
        </xdr:cNvCxnSpPr>
      </xdr:nvCxnSpPr>
      <xdr:spPr>
        <a:xfrm>
          <a:off x="790575" y="7372350"/>
          <a:ext cx="3952875" cy="0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372718</xdr:colOff>
      <xdr:row>36</xdr:row>
      <xdr:rowOff>172693</xdr:rowOff>
    </xdr:from>
    <xdr:to>
      <xdr:col>15</xdr:col>
      <xdr:colOff>0</xdr:colOff>
      <xdr:row>39</xdr:row>
      <xdr:rowOff>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3FB79CE8-34A9-4719-94A8-CC148E1F098D}"/>
            </a:ext>
          </a:extLst>
        </xdr:cNvPr>
        <xdr:cNvSpPr txBox="1"/>
      </xdr:nvSpPr>
      <xdr:spPr>
        <a:xfrm>
          <a:off x="7230718" y="8231671"/>
          <a:ext cx="1151282" cy="398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E-302</a:t>
          </a:r>
        </a:p>
      </xdr:txBody>
    </xdr:sp>
    <xdr:clientData/>
  </xdr:twoCellAnchor>
  <xdr:twoCellAnchor>
    <xdr:from>
      <xdr:col>15</xdr:col>
      <xdr:colOff>0</xdr:colOff>
      <xdr:row>37</xdr:row>
      <xdr:rowOff>177456</xdr:rowOff>
    </xdr:from>
    <xdr:to>
      <xdr:col>20</xdr:col>
      <xdr:colOff>0</xdr:colOff>
      <xdr:row>38</xdr:row>
      <xdr:rowOff>0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CBE5C8BA-C97E-4F96-9CB5-89569D1703DE}"/>
            </a:ext>
          </a:extLst>
        </xdr:cNvPr>
        <xdr:cNvCxnSpPr>
          <a:stCxn id="46" idx="3"/>
          <a:endCxn id="48" idx="2"/>
        </xdr:cNvCxnSpPr>
      </xdr:nvCxnSpPr>
      <xdr:spPr>
        <a:xfrm>
          <a:off x="8382000" y="8426934"/>
          <a:ext cx="3810000" cy="13044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35</xdr:row>
      <xdr:rowOff>182218</xdr:rowOff>
    </xdr:from>
    <xdr:to>
      <xdr:col>21</xdr:col>
      <xdr:colOff>0</xdr:colOff>
      <xdr:row>40</xdr:row>
      <xdr:rowOff>8283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14EF34F4-DD16-4B2B-B6AD-1D5763F6C77E}"/>
            </a:ext>
          </a:extLst>
        </xdr:cNvPr>
        <xdr:cNvSpPr/>
      </xdr:nvSpPr>
      <xdr:spPr>
        <a:xfrm>
          <a:off x="12192000" y="8050696"/>
          <a:ext cx="762000" cy="778565"/>
        </a:xfrm>
        <a:prstGeom prst="ellipse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36</xdr:row>
      <xdr:rowOff>172693</xdr:rowOff>
    </xdr:from>
    <xdr:to>
      <xdr:col>21</xdr:col>
      <xdr:colOff>0</xdr:colOff>
      <xdr:row>39</xdr:row>
      <xdr:rowOff>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CC959820-20A6-4E2A-8C56-F4264E1D263F}"/>
            </a:ext>
          </a:extLst>
        </xdr:cNvPr>
        <xdr:cNvSpPr txBox="1"/>
      </xdr:nvSpPr>
      <xdr:spPr>
        <a:xfrm>
          <a:off x="12192000" y="8231671"/>
          <a:ext cx="762000" cy="398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P-302</a:t>
          </a:r>
        </a:p>
      </xdr:txBody>
    </xdr:sp>
    <xdr:clientData/>
  </xdr:twoCellAnchor>
  <xdr:twoCellAnchor>
    <xdr:from>
      <xdr:col>4</xdr:col>
      <xdr:colOff>41413</xdr:colOff>
      <xdr:row>36</xdr:row>
      <xdr:rowOff>92473</xdr:rowOff>
    </xdr:from>
    <xdr:to>
      <xdr:col>4</xdr:col>
      <xdr:colOff>567118</xdr:colOff>
      <xdr:row>39</xdr:row>
      <xdr:rowOff>77391</xdr:rowOff>
    </xdr:to>
    <xdr:sp macro="" textlink="">
      <xdr:nvSpPr>
        <xdr:cNvPr id="51" name="Diagrama de flujo: decisión 50">
          <a:extLst>
            <a:ext uri="{FF2B5EF4-FFF2-40B4-BE49-F238E27FC236}">
              <a16:creationId xmlns:a16="http://schemas.microsoft.com/office/drawing/2014/main" id="{81591A1D-0283-4D58-9C3A-FEDECD7D266F}"/>
            </a:ext>
          </a:extLst>
        </xdr:cNvPr>
        <xdr:cNvSpPr/>
      </xdr:nvSpPr>
      <xdr:spPr>
        <a:xfrm>
          <a:off x="4613413" y="8151451"/>
          <a:ext cx="525705" cy="556418"/>
        </a:xfrm>
        <a:prstGeom prst="flowChartDecision">
          <a:avLst/>
        </a:prstGeom>
        <a:solidFill>
          <a:schemeClr val="bg1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17</xdr:col>
      <xdr:colOff>236295</xdr:colOff>
      <xdr:row>36</xdr:row>
      <xdr:rowOff>92473</xdr:rowOff>
    </xdr:from>
    <xdr:to>
      <xdr:col>18</xdr:col>
      <xdr:colOff>0</xdr:colOff>
      <xdr:row>39</xdr:row>
      <xdr:rowOff>77391</xdr:rowOff>
    </xdr:to>
    <xdr:sp macro="" textlink="">
      <xdr:nvSpPr>
        <xdr:cNvPr id="52" name="Diagrama de flujo: decisión 51">
          <a:extLst>
            <a:ext uri="{FF2B5EF4-FFF2-40B4-BE49-F238E27FC236}">
              <a16:creationId xmlns:a16="http://schemas.microsoft.com/office/drawing/2014/main" id="{7E91FE3A-E2E4-4D41-8998-157F4F35934E}"/>
            </a:ext>
          </a:extLst>
        </xdr:cNvPr>
        <xdr:cNvSpPr/>
      </xdr:nvSpPr>
      <xdr:spPr>
        <a:xfrm>
          <a:off x="10142295" y="8151451"/>
          <a:ext cx="525705" cy="556418"/>
        </a:xfrm>
        <a:prstGeom prst="flowChartDecision">
          <a:avLst/>
        </a:prstGeom>
        <a:solidFill>
          <a:schemeClr val="bg1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23</xdr:col>
      <xdr:colOff>236295</xdr:colOff>
      <xdr:row>34</xdr:row>
      <xdr:rowOff>90474</xdr:rowOff>
    </xdr:from>
    <xdr:to>
      <xdr:col>24</xdr:col>
      <xdr:colOff>0</xdr:colOff>
      <xdr:row>37</xdr:row>
      <xdr:rowOff>67110</xdr:rowOff>
    </xdr:to>
    <xdr:sp macro="" textlink="">
      <xdr:nvSpPr>
        <xdr:cNvPr id="53" name="Diagrama de flujo: decisión 52">
          <a:extLst>
            <a:ext uri="{FF2B5EF4-FFF2-40B4-BE49-F238E27FC236}">
              <a16:creationId xmlns:a16="http://schemas.microsoft.com/office/drawing/2014/main" id="{788C7D62-B682-4667-BF26-ABE6935ACAB8}"/>
            </a:ext>
          </a:extLst>
        </xdr:cNvPr>
        <xdr:cNvSpPr/>
      </xdr:nvSpPr>
      <xdr:spPr>
        <a:xfrm>
          <a:off x="14714295" y="7768452"/>
          <a:ext cx="525705" cy="548136"/>
        </a:xfrm>
        <a:prstGeom prst="flowChartDecision">
          <a:avLst/>
        </a:prstGeom>
        <a:solidFill>
          <a:schemeClr val="bg1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41412</xdr:colOff>
      <xdr:row>36</xdr:row>
      <xdr:rowOff>171450</xdr:rowOff>
    </xdr:from>
    <xdr:to>
      <xdr:col>4</xdr:col>
      <xdr:colOff>567118</xdr:colOff>
      <xdr:row>38</xdr:row>
      <xdr:rowOff>189257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4934A236-0EF2-47C6-B659-6E38A8069761}"/>
            </a:ext>
          </a:extLst>
        </xdr:cNvPr>
        <xdr:cNvSpPr txBox="1"/>
      </xdr:nvSpPr>
      <xdr:spPr>
        <a:xfrm>
          <a:off x="4613412" y="8230428"/>
          <a:ext cx="525706" cy="398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5</a:t>
          </a:r>
        </a:p>
      </xdr:txBody>
    </xdr:sp>
    <xdr:clientData/>
  </xdr:twoCellAnchor>
  <xdr:twoCellAnchor>
    <xdr:from>
      <xdr:col>17</xdr:col>
      <xdr:colOff>236295</xdr:colOff>
      <xdr:row>36</xdr:row>
      <xdr:rowOff>172693</xdr:rowOff>
    </xdr:from>
    <xdr:to>
      <xdr:col>18</xdr:col>
      <xdr:colOff>1</xdr:colOff>
      <xdr:row>39</xdr:row>
      <xdr:rowOff>0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EAE0D042-8C50-4D69-8B88-A80FC5E3DB44}"/>
            </a:ext>
          </a:extLst>
        </xdr:cNvPr>
        <xdr:cNvSpPr txBox="1"/>
      </xdr:nvSpPr>
      <xdr:spPr>
        <a:xfrm>
          <a:off x="10142295" y="8231671"/>
          <a:ext cx="525706" cy="398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7</a:t>
          </a:r>
        </a:p>
      </xdr:txBody>
    </xdr:sp>
    <xdr:clientData/>
  </xdr:twoCellAnchor>
  <xdr:twoCellAnchor>
    <xdr:from>
      <xdr:col>23</xdr:col>
      <xdr:colOff>236295</xdr:colOff>
      <xdr:row>34</xdr:row>
      <xdr:rowOff>166301</xdr:rowOff>
    </xdr:from>
    <xdr:to>
      <xdr:col>24</xdr:col>
      <xdr:colOff>0</xdr:colOff>
      <xdr:row>36</xdr:row>
      <xdr:rowOff>175826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C31239AB-6D6D-4EE9-ACC7-2BA4116A591F}"/>
            </a:ext>
          </a:extLst>
        </xdr:cNvPr>
        <xdr:cNvSpPr txBox="1"/>
      </xdr:nvSpPr>
      <xdr:spPr>
        <a:xfrm>
          <a:off x="14714295" y="7844279"/>
          <a:ext cx="52570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8</a:t>
          </a:r>
        </a:p>
      </xdr:txBody>
    </xdr:sp>
    <xdr:clientData/>
  </xdr:twoCellAnchor>
  <xdr:twoCellAnchor>
    <xdr:from>
      <xdr:col>20</xdr:col>
      <xdr:colOff>381000</xdr:colOff>
      <xdr:row>34</xdr:row>
      <xdr:rowOff>0</xdr:rowOff>
    </xdr:from>
    <xdr:to>
      <xdr:col>20</xdr:col>
      <xdr:colOff>381000</xdr:colOff>
      <xdr:row>35</xdr:row>
      <xdr:rowOff>182218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5DE3A13B-4598-4126-B58F-3F94EC4E0F75}"/>
            </a:ext>
          </a:extLst>
        </xdr:cNvPr>
        <xdr:cNvCxnSpPr>
          <a:stCxn id="48" idx="0"/>
        </xdr:cNvCxnSpPr>
      </xdr:nvCxnSpPr>
      <xdr:spPr>
        <a:xfrm flipV="1">
          <a:off x="12573000" y="7719391"/>
          <a:ext cx="0" cy="372718"/>
        </a:xfrm>
        <a:prstGeom prst="line">
          <a:avLst/>
        </a:prstGeom>
        <a:ln w="19050">
          <a:solidFill>
            <a:schemeClr val="accent6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219697</xdr:colOff>
      <xdr:row>8</xdr:row>
      <xdr:rowOff>190500</xdr:rowOff>
    </xdr:from>
    <xdr:to>
      <xdr:col>14</xdr:col>
      <xdr:colOff>219697</xdr:colOff>
      <xdr:row>9</xdr:row>
      <xdr:rowOff>149087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D1C3CC3-8BDD-42BF-8663-F7EDF2B9E915}"/>
            </a:ext>
          </a:extLst>
        </xdr:cNvPr>
        <xdr:cNvCxnSpPr>
          <a:endCxn id="2" idx="0"/>
        </xdr:cNvCxnSpPr>
      </xdr:nvCxnSpPr>
      <xdr:spPr>
        <a:xfrm>
          <a:off x="5582272" y="1771650"/>
          <a:ext cx="0" cy="158612"/>
        </a:xfrm>
        <a:prstGeom prst="line">
          <a:avLst/>
        </a:prstGeom>
        <a:ln w="19050">
          <a:solidFill>
            <a:schemeClr val="tx2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304266</xdr:colOff>
      <xdr:row>39</xdr:row>
      <xdr:rowOff>77391</xdr:rowOff>
    </xdr:from>
    <xdr:to>
      <xdr:col>4</xdr:col>
      <xdr:colOff>304266</xdr:colOff>
      <xdr:row>40</xdr:row>
      <xdr:rowOff>0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D4E15D31-9D72-480D-922D-E6D4A41248BE}"/>
            </a:ext>
          </a:extLst>
        </xdr:cNvPr>
        <xdr:cNvCxnSpPr>
          <a:endCxn id="51" idx="2"/>
        </xdr:cNvCxnSpPr>
      </xdr:nvCxnSpPr>
      <xdr:spPr>
        <a:xfrm flipV="1">
          <a:off x="4876266" y="8773156"/>
          <a:ext cx="0" cy="124315"/>
        </a:xfrm>
        <a:prstGeom prst="line">
          <a:avLst/>
        </a:prstGeom>
        <a:ln w="19050">
          <a:solidFill>
            <a:schemeClr val="accent6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499148</xdr:colOff>
      <xdr:row>39</xdr:row>
      <xdr:rowOff>77391</xdr:rowOff>
    </xdr:from>
    <xdr:to>
      <xdr:col>17</xdr:col>
      <xdr:colOff>499148</xdr:colOff>
      <xdr:row>40</xdr:row>
      <xdr:rowOff>8283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8A2EAA2D-EFAA-434E-80D1-3E0820930AA0}"/>
            </a:ext>
          </a:extLst>
        </xdr:cNvPr>
        <xdr:cNvCxnSpPr>
          <a:endCxn id="52" idx="2"/>
        </xdr:cNvCxnSpPr>
      </xdr:nvCxnSpPr>
      <xdr:spPr>
        <a:xfrm flipV="1">
          <a:off x="10405148" y="8773156"/>
          <a:ext cx="0" cy="132598"/>
        </a:xfrm>
        <a:prstGeom prst="line">
          <a:avLst/>
        </a:prstGeom>
        <a:ln w="19050">
          <a:solidFill>
            <a:schemeClr val="accent6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499148</xdr:colOff>
      <xdr:row>37</xdr:row>
      <xdr:rowOff>67110</xdr:rowOff>
    </xdr:from>
    <xdr:to>
      <xdr:col>23</xdr:col>
      <xdr:colOff>499148</xdr:colOff>
      <xdr:row>37</xdr:row>
      <xdr:rowOff>178284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DACAB989-ECBF-48B3-A59C-8BA469846457}"/>
            </a:ext>
          </a:extLst>
        </xdr:cNvPr>
        <xdr:cNvCxnSpPr>
          <a:endCxn id="53" idx="2"/>
        </xdr:cNvCxnSpPr>
      </xdr:nvCxnSpPr>
      <xdr:spPr>
        <a:xfrm flipV="1">
          <a:off x="14977148" y="8370669"/>
          <a:ext cx="0" cy="111174"/>
        </a:xfrm>
        <a:prstGeom prst="line">
          <a:avLst/>
        </a:prstGeom>
        <a:ln w="19050">
          <a:solidFill>
            <a:schemeClr val="accent6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35</xdr:row>
      <xdr:rowOff>167931</xdr:rowOff>
    </xdr:from>
    <xdr:to>
      <xdr:col>4</xdr:col>
      <xdr:colOff>0</xdr:colOff>
      <xdr:row>37</xdr:row>
      <xdr:rowOff>177456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8036CF2-D35F-4300-A899-1CA20E2CE063}"/>
            </a:ext>
          </a:extLst>
        </xdr:cNvPr>
        <xdr:cNvSpPr txBox="1"/>
      </xdr:nvSpPr>
      <xdr:spPr>
        <a:xfrm>
          <a:off x="790575" y="6959256"/>
          <a:ext cx="1524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600" b="1">
              <a:solidFill>
                <a:schemeClr val="accent6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Heating fluid</a:t>
          </a:r>
        </a:p>
      </xdr:txBody>
    </xdr:sp>
    <xdr:clientData/>
  </xdr:twoCellAnchor>
  <xdr:twoCellAnchor>
    <xdr:from>
      <xdr:col>24</xdr:col>
      <xdr:colOff>195056</xdr:colOff>
      <xdr:row>33</xdr:row>
      <xdr:rowOff>167931</xdr:rowOff>
    </xdr:from>
    <xdr:to>
      <xdr:col>26</xdr:col>
      <xdr:colOff>1</xdr:colOff>
      <xdr:row>35</xdr:row>
      <xdr:rowOff>167931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F8EB081B-702A-462B-88DB-D833AF45C04F}"/>
            </a:ext>
          </a:extLst>
        </xdr:cNvPr>
        <xdr:cNvSpPr txBox="1"/>
      </xdr:nvSpPr>
      <xdr:spPr>
        <a:xfrm>
          <a:off x="13244306" y="6568731"/>
          <a:ext cx="132894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CO" sz="1600" b="1">
              <a:solidFill>
                <a:schemeClr val="accent6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Heating fluid</a:t>
          </a:r>
        </a:p>
      </xdr:txBody>
    </xdr:sp>
    <xdr:clientData/>
  </xdr:twoCellAnchor>
  <xdr:twoCellAnchor>
    <xdr:from>
      <xdr:col>2</xdr:col>
      <xdr:colOff>0</xdr:colOff>
      <xdr:row>11</xdr:row>
      <xdr:rowOff>9525</xdr:rowOff>
    </xdr:from>
    <xdr:to>
      <xdr:col>3</xdr:col>
      <xdr:colOff>470038</xdr:colOff>
      <xdr:row>13</xdr:row>
      <xdr:rowOff>9525</xdr:rowOff>
    </xdr:to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C6C2A6E2-8A45-4869-8715-5DC718150709}"/>
            </a:ext>
          </a:extLst>
        </xdr:cNvPr>
        <xdr:cNvSpPr txBox="1"/>
      </xdr:nvSpPr>
      <xdr:spPr>
        <a:xfrm>
          <a:off x="790575" y="2152650"/>
          <a:ext cx="1232038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600" b="1">
              <a:solidFill>
                <a:schemeClr val="tx2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Cooling fluid</a:t>
          </a:r>
        </a:p>
      </xdr:txBody>
    </xdr:sp>
    <xdr:clientData/>
  </xdr:twoCellAnchor>
  <xdr:twoCellAnchor>
    <xdr:from>
      <xdr:col>24</xdr:col>
      <xdr:colOff>1</xdr:colOff>
      <xdr:row>8</xdr:row>
      <xdr:rowOff>180975</xdr:rowOff>
    </xdr:from>
    <xdr:to>
      <xdr:col>26</xdr:col>
      <xdr:colOff>1</xdr:colOff>
      <xdr:row>10</xdr:row>
      <xdr:rowOff>180975</xdr:rowOff>
    </xdr:to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36F57D93-9217-4E4B-88C2-419A9EA4CFFC}"/>
            </a:ext>
          </a:extLst>
        </xdr:cNvPr>
        <xdr:cNvSpPr txBox="1"/>
      </xdr:nvSpPr>
      <xdr:spPr>
        <a:xfrm>
          <a:off x="13049251" y="1743075"/>
          <a:ext cx="1524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CO" sz="1600" b="1">
              <a:solidFill>
                <a:schemeClr val="tx2"/>
              </a:solidFill>
              <a:latin typeface="Unilever DIN Offc Pro" panose="020B0504020101020102" pitchFamily="34" charset="0"/>
              <a:cs typeface="Unilever DIN Offc Pro" panose="020B0504020101020102" pitchFamily="34" charset="0"/>
            </a:rPr>
            <a:t>Cooling fluid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9</xdr:col>
      <xdr:colOff>0</xdr:colOff>
      <xdr:row>17</xdr:row>
      <xdr:rowOff>190499</xdr:rowOff>
    </xdr:to>
    <xdr:sp macro="" textlink="">
      <xdr:nvSpPr>
        <xdr:cNvPr id="83" name="Diagrama de flujo: disco magnético 82">
          <a:extLst>
            <a:ext uri="{FF2B5EF4-FFF2-40B4-BE49-F238E27FC236}">
              <a16:creationId xmlns:a16="http://schemas.microsoft.com/office/drawing/2014/main" id="{24C7A403-5E62-A971-5232-511FD636DC25}"/>
            </a:ext>
          </a:extLst>
        </xdr:cNvPr>
        <xdr:cNvSpPr/>
      </xdr:nvSpPr>
      <xdr:spPr>
        <a:xfrm>
          <a:off x="5505450" y="1562100"/>
          <a:ext cx="1524000" cy="1943099"/>
        </a:xfrm>
        <a:prstGeom prst="flowChartMagneticDisk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12</xdr:row>
      <xdr:rowOff>190500</xdr:rowOff>
    </xdr:from>
    <xdr:to>
      <xdr:col>13</xdr:col>
      <xdr:colOff>372718</xdr:colOff>
      <xdr:row>13</xdr:row>
      <xdr:rowOff>0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8E24CF47-CF47-450C-A009-4A66DE2E572C}"/>
            </a:ext>
          </a:extLst>
        </xdr:cNvPr>
        <xdr:cNvCxnSpPr>
          <a:stCxn id="83" idx="4"/>
          <a:endCxn id="10" idx="1"/>
        </xdr:cNvCxnSpPr>
      </xdr:nvCxnSpPr>
      <xdr:spPr>
        <a:xfrm flipV="1">
          <a:off x="7029450" y="2524125"/>
          <a:ext cx="2658718" cy="9525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236295</xdr:colOff>
      <xdr:row>11</xdr:row>
      <xdr:rowOff>100755</xdr:rowOff>
    </xdr:from>
    <xdr:to>
      <xdr:col>12</xdr:col>
      <xdr:colOff>0</xdr:colOff>
      <xdr:row>14</xdr:row>
      <xdr:rowOff>77391</xdr:rowOff>
    </xdr:to>
    <xdr:sp macro="" textlink="">
      <xdr:nvSpPr>
        <xdr:cNvPr id="88" name="Diagrama de flujo: decisión 87">
          <a:extLst>
            <a:ext uri="{FF2B5EF4-FFF2-40B4-BE49-F238E27FC236}">
              <a16:creationId xmlns:a16="http://schemas.microsoft.com/office/drawing/2014/main" id="{AF6D15B8-E126-411C-9535-A3DA9DD1C58E}"/>
            </a:ext>
          </a:extLst>
        </xdr:cNvPr>
        <xdr:cNvSpPr/>
      </xdr:nvSpPr>
      <xdr:spPr>
        <a:xfrm>
          <a:off x="8789745" y="2243880"/>
          <a:ext cx="525705" cy="557661"/>
        </a:xfrm>
        <a:prstGeom prst="flowChartDecision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11</xdr:col>
      <xdr:colOff>236295</xdr:colOff>
      <xdr:row>11</xdr:row>
      <xdr:rowOff>168964</xdr:rowOff>
    </xdr:from>
    <xdr:to>
      <xdr:col>12</xdr:col>
      <xdr:colOff>1</xdr:colOff>
      <xdr:row>13</xdr:row>
      <xdr:rowOff>178489</xdr:rowOff>
    </xdr:to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C791D772-3758-4A2D-8474-3073C7FB15FF}"/>
            </a:ext>
          </a:extLst>
        </xdr:cNvPr>
        <xdr:cNvSpPr txBox="1"/>
      </xdr:nvSpPr>
      <xdr:spPr>
        <a:xfrm>
          <a:off x="8789745" y="2312089"/>
          <a:ext cx="52570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2</a:t>
          </a:r>
        </a:p>
      </xdr:txBody>
    </xdr:sp>
    <xdr:clientData/>
  </xdr:twoCellAnchor>
  <xdr:twoCellAnchor>
    <xdr:from>
      <xdr:col>7</xdr:col>
      <xdr:colOff>0</xdr:colOff>
      <xdr:row>11</xdr:row>
      <xdr:rowOff>100755</xdr:rowOff>
    </xdr:from>
    <xdr:to>
      <xdr:col>9</xdr:col>
      <xdr:colOff>0</xdr:colOff>
      <xdr:row>17</xdr:row>
      <xdr:rowOff>190499</xdr:rowOff>
    </xdr:to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7329B3AB-F870-435E-B4BB-391260272985}"/>
            </a:ext>
          </a:extLst>
        </xdr:cNvPr>
        <xdr:cNvSpPr txBox="1"/>
      </xdr:nvSpPr>
      <xdr:spPr>
        <a:xfrm>
          <a:off x="4743450" y="2243880"/>
          <a:ext cx="1524000" cy="12613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TK-301</a:t>
          </a:r>
        </a:p>
      </xdr:txBody>
    </xdr:sp>
    <xdr:clientData/>
  </xdr:twoCellAnchor>
  <xdr:twoCellAnchor>
    <xdr:from>
      <xdr:col>11</xdr:col>
      <xdr:colOff>499148</xdr:colOff>
      <xdr:row>14</xdr:row>
      <xdr:rowOff>77391</xdr:rowOff>
    </xdr:from>
    <xdr:to>
      <xdr:col>11</xdr:col>
      <xdr:colOff>499148</xdr:colOff>
      <xdr:row>15</xdr:row>
      <xdr:rowOff>0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B57B8231-EC23-4E41-8BCB-844BFB8873CC}"/>
            </a:ext>
          </a:extLst>
        </xdr:cNvPr>
        <xdr:cNvCxnSpPr>
          <a:endCxn id="88" idx="2"/>
        </xdr:cNvCxnSpPr>
      </xdr:nvCxnSpPr>
      <xdr:spPr>
        <a:xfrm flipV="1">
          <a:off x="8290598" y="2801541"/>
          <a:ext cx="0" cy="122634"/>
        </a:xfrm>
        <a:prstGeom prst="line">
          <a:avLst/>
        </a:prstGeom>
        <a:ln w="19050">
          <a:solidFill>
            <a:schemeClr val="tx2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247652</xdr:colOff>
      <xdr:row>36</xdr:row>
      <xdr:rowOff>92473</xdr:rowOff>
    </xdr:from>
    <xdr:to>
      <xdr:col>12</xdr:col>
      <xdr:colOff>11357</xdr:colOff>
      <xdr:row>39</xdr:row>
      <xdr:rowOff>77391</xdr:rowOff>
    </xdr:to>
    <xdr:sp macro="" textlink="">
      <xdr:nvSpPr>
        <xdr:cNvPr id="94" name="Diagrama de flujo: decisión 93">
          <a:extLst>
            <a:ext uri="{FF2B5EF4-FFF2-40B4-BE49-F238E27FC236}">
              <a16:creationId xmlns:a16="http://schemas.microsoft.com/office/drawing/2014/main" id="{9E5FF25E-0CE6-4648-86AD-887BE58839B9}"/>
            </a:ext>
          </a:extLst>
        </xdr:cNvPr>
        <xdr:cNvSpPr/>
      </xdr:nvSpPr>
      <xdr:spPr>
        <a:xfrm>
          <a:off x="8039102" y="7074298"/>
          <a:ext cx="525705" cy="565943"/>
        </a:xfrm>
        <a:prstGeom prst="flowChartDecision">
          <a:avLst/>
        </a:prstGeom>
        <a:solidFill>
          <a:schemeClr val="bg1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1">
            <a:solidFill>
              <a:schemeClr val="tx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11</xdr:col>
      <xdr:colOff>247651</xdr:colOff>
      <xdr:row>36</xdr:row>
      <xdr:rowOff>171450</xdr:rowOff>
    </xdr:from>
    <xdr:to>
      <xdr:col>12</xdr:col>
      <xdr:colOff>11357</xdr:colOff>
      <xdr:row>38</xdr:row>
      <xdr:rowOff>189257</xdr:rowOff>
    </xdr:to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59F5870B-79F7-4169-8C01-A8888BE2690C}"/>
            </a:ext>
          </a:extLst>
        </xdr:cNvPr>
        <xdr:cNvSpPr txBox="1"/>
      </xdr:nvSpPr>
      <xdr:spPr>
        <a:xfrm>
          <a:off x="8039101" y="7153275"/>
          <a:ext cx="525706" cy="408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6</a:t>
          </a: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9</xdr:col>
      <xdr:colOff>0</xdr:colOff>
      <xdr:row>42</xdr:row>
      <xdr:rowOff>190499</xdr:rowOff>
    </xdr:to>
    <xdr:sp macro="" textlink="">
      <xdr:nvSpPr>
        <xdr:cNvPr id="96" name="Diagrama de flujo: disco magnético 95">
          <a:extLst>
            <a:ext uri="{FF2B5EF4-FFF2-40B4-BE49-F238E27FC236}">
              <a16:creationId xmlns:a16="http://schemas.microsoft.com/office/drawing/2014/main" id="{F7248AB8-DD90-4A41-84B4-3B34CD8F90E0}"/>
            </a:ext>
          </a:extLst>
        </xdr:cNvPr>
        <xdr:cNvSpPr/>
      </xdr:nvSpPr>
      <xdr:spPr>
        <a:xfrm>
          <a:off x="4743450" y="6400800"/>
          <a:ext cx="1524000" cy="1943099"/>
        </a:xfrm>
        <a:prstGeom prst="flowChartMagneticDisk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36</xdr:row>
      <xdr:rowOff>92473</xdr:rowOff>
    </xdr:from>
    <xdr:to>
      <xdr:col>9</xdr:col>
      <xdr:colOff>0</xdr:colOff>
      <xdr:row>42</xdr:row>
      <xdr:rowOff>182217</xdr:rowOff>
    </xdr:to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9DF1D075-9601-4566-B35C-98C1ADD30E2B}"/>
            </a:ext>
          </a:extLst>
        </xdr:cNvPr>
        <xdr:cNvSpPr txBox="1"/>
      </xdr:nvSpPr>
      <xdr:spPr>
        <a:xfrm>
          <a:off x="4743450" y="7074298"/>
          <a:ext cx="1524000" cy="12613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Unilever DIN Offc Pro" panose="020B0504020101020102" pitchFamily="34" charset="0"/>
              <a:cs typeface="Unilever DIN Offc Pro" panose="020B0504020101020102" pitchFamily="34" charset="0"/>
            </a:rPr>
            <a:t>TK-302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173182</xdr:colOff>
      <xdr:row>16</xdr:row>
      <xdr:rowOff>57149</xdr:rowOff>
    </xdr:from>
    <xdr:to>
      <xdr:col>7</xdr:col>
      <xdr:colOff>933017</xdr:colOff>
      <xdr:row>34</xdr:row>
      <xdr:rowOff>64941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9D766B-B3BA-2618-94FE-7DDC4FE8D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982806</xdr:colOff>
      <xdr:row>11</xdr:row>
      <xdr:rowOff>32473</xdr:rowOff>
    </xdr:from>
    <xdr:to>
      <xdr:col>17</xdr:col>
      <xdr:colOff>119063</xdr:colOff>
      <xdr:row>33</xdr:row>
      <xdr:rowOff>75769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705525-2769-6E25-1FC0-11D2098C6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352425</xdr:colOff>
      <xdr:row>11</xdr:row>
      <xdr:rowOff>128587</xdr:rowOff>
    </xdr:from>
    <xdr:ext cx="1485343" cy="5402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A2A39A4-0F74-BA9D-44C0-2DE673A42901}"/>
                </a:ext>
              </a:extLst>
            </xdr:cNvPr>
            <xdr:cNvSpPr txBox="1"/>
          </xdr:nvSpPr>
          <xdr:spPr>
            <a:xfrm>
              <a:off x="4686300" y="2243137"/>
              <a:ext cx="1485343" cy="5402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</m:oMath>
                </m:oMathPara>
              </a14:m>
              <a:endParaRPr lang="en-US" sz="1100" b="0" i="1">
                <a:latin typeface="Cambria Math" panose="02040503050406030204" pitchFamily="18" charset="0"/>
              </a:endParaRPr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𝐶𝑝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𝑘𝐽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𝑘𝑔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·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𝑎𝑛𝑑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A2A39A4-0F74-BA9D-44C0-2DE673A42901}"/>
                </a:ext>
              </a:extLst>
            </xdr:cNvPr>
            <xdr:cNvSpPr txBox="1"/>
          </xdr:nvSpPr>
          <xdr:spPr>
            <a:xfrm>
              <a:off x="4686300" y="2243137"/>
              <a:ext cx="1485343" cy="5402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US" sz="1100" b="0" i="0">
                  <a:latin typeface="Cambria Math" panose="02040503050406030204" pitchFamily="18" charset="0"/>
                </a:rPr>
                <a:t>𝐶_𝑝=𝑎𝑇^𝑏+𝑐;</a:t>
              </a:r>
              <a:endParaRPr lang="en-US" sz="1100" b="0" i="1">
                <a:latin typeface="Cambria Math" panose="02040503050406030204" pitchFamily="18" charset="0"/>
              </a:endParaRPr>
            </a:p>
            <a:p>
              <a:pPr algn="l"/>
              <a:r>
                <a:rPr lang="en-US" sz="1100" b="0" i="0">
                  <a:latin typeface="Cambria Math" panose="02040503050406030204" pitchFamily="18" charset="0"/>
                </a:rPr>
                <a:t>𝐶𝑝 𝑖𝑛 𝑘𝐽/(𝑘𝑔·𝐾)  𝑎𝑛𝑑 𝑇 𝑖𝑛 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149087</xdr:colOff>
      <xdr:row>46</xdr:row>
      <xdr:rowOff>116371</xdr:rowOff>
    </xdr:from>
    <xdr:ext cx="11984935" cy="571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FC24809E-B898-3FFD-D8FA-573FEC598290}"/>
                </a:ext>
              </a:extLst>
            </xdr:cNvPr>
            <xdr:cNvSpPr txBox="1"/>
          </xdr:nvSpPr>
          <xdr:spPr>
            <a:xfrm>
              <a:off x="330062" y="8765071"/>
              <a:ext cx="11984935" cy="571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𝜙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𝛿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𝜏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)=</m:t>
                    </m:r>
                    <m:nary>
                      <m:naryPr>
                        <m:chr m:val="∑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7</m:t>
                        </m:r>
                      </m:sup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𝛿</m:t>
                            </m:r>
                          </m:e>
                          <m:sup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p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nary>
                          <m:naryPr>
                            <m:chr m:val="∑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=8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34</m:t>
                            </m:r>
                          </m:sup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𝛿</m:t>
                                </m:r>
                              </m:e>
                              <m:sup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p>
                            </m:sSup>
                            <m:sSup>
                              <m:sSup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p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p>
                            </m:sSup>
                            <m:sSup>
                              <m:sSup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</m:e>
                                  <m:sup>
                                    <m:sSub>
                                      <m:sSub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𝑐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sup>
                                </m:sSup>
                              </m:sup>
                            </m:s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nary>
                              <m:naryPr>
                                <m:chr m:val="∑"/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23"/>
                                  </m:r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=35</m:t>
                                </m:r>
                              </m:sub>
                              <m:sup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39</m:t>
                                </m:r>
                              </m:sup>
                              <m:e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</m:e>
                                  <m:sup>
                                    <m:sSub>
                                      <m:sSub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sup>
                                </m:sSup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𝜏</m:t>
                                    </m:r>
                                  </m:e>
                                  <m:sup>
                                    <m:sSub>
                                      <m:sSub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sup>
                                </m:sSup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𝑒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𝛼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sSup>
                                      <m:sSup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  <m:t>𝛿</m:t>
                                            </m:r>
                                            <m: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  <m:t>−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𝜖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𝑖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𝛽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sSup>
                                      <m:sSupPr>
                                        <m:ctrlP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  <m:t>𝜏</m:t>
                                            </m:r>
                                            <m:r>
                                              <a:rPr lang="es-ES" sz="1100" b="0" i="1">
                                                <a:latin typeface="Cambria Math" panose="02040503050406030204" pitchFamily="18" charset="0"/>
                                              </a:rPr>
                                              <m:t>−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𝑦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𝑖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es-E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sup>
                                </m:sSup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+ </m:t>
                                </m:r>
                                <m:nary>
                                  <m:naryPr>
                                    <m:chr m:val="∑"/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naryPr>
                                  <m:sub>
                                    <m:r>
                                      <m:rPr>
                                        <m:brk m:alnAt="23"/>
                                      </m:r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=40</m:t>
                                    </m:r>
                                  </m:sub>
                                  <m:sup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42</m:t>
                                    </m:r>
                                  </m:sup>
                                  <m:e>
                                    <m:sSub>
                                      <m:sSubPr>
                                        <m:ctrlP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𝑛</m:t>
                                        </m:r>
                                      </m:e>
                                      <m:sub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sSup>
                                      <m:sSupPr>
                                        <m:ctrlP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m:rPr>
                                            <m:sty m:val="p"/>
                                          </m:rPr>
                                          <a:rPr lang="es-ES" sz="11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Δ</m:t>
                                        </m:r>
                                      </m:e>
                                      <m:sup>
                                        <m:sSub>
                                          <m:sSubPr>
                                            <m:ctrlPr>
                                              <a:rPr lang="es-ES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𝑏</m:t>
                                            </m:r>
                                          </m:e>
                                          <m:sub>
                                            <m:r>
                                              <a:rPr lang="es-ES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sup>
                                    </m:sSup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𝛿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ES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Ψ</m:t>
                                    </m:r>
                                  </m:e>
                                </m:nary>
                              </m:e>
                            </m:nary>
                          </m:e>
                        </m:nary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  </m:t>
                        </m:r>
                      </m:e>
                    </m:nary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FC24809E-B898-3FFD-D8FA-573FEC598290}"/>
                </a:ext>
              </a:extLst>
            </xdr:cNvPr>
            <xdr:cNvSpPr txBox="1"/>
          </xdr:nvSpPr>
          <xdr:spPr>
            <a:xfrm>
              <a:off x="330062" y="8765071"/>
              <a:ext cx="11984935" cy="571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𝜙^𝑟 (𝛿,𝜏)=∑24_(𝑖=1)^7▒〖𝑛_𝑖 𝛿^(𝑑_𝑖 ) 𝜏^(𝑡_𝑖 )+∑24_(𝑖=8)^34▒〖𝑛_𝑖 𝛿^(𝑑_𝑖 ) 𝜏^(𝑡_𝑖 ) 𝑒^(−𝛿^(𝑐_𝑖 ) )+∑24_(𝑖=35)^39▒〖𝑛_𝑖 𝛿^(𝑑_𝑖 ) 𝜏^(𝑡_𝑖 ) 𝑒^(−𝛼_𝑖 (𝛿−𝜖_𝑖 )^2−𝛽_𝑖 (𝜏−𝑦_𝑖 )^2 )+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∑_(𝑖=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40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)^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42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▒〖𝑛_𝑖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Δ^(𝑏_𝑖 ) 𝛿Ψ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〗〗 </a:t>
              </a:r>
              <a:r>
                <a:rPr lang="es-ES" sz="1100" b="0" i="0">
                  <a:latin typeface="Cambria Math" panose="02040503050406030204" pitchFamily="18" charset="0"/>
                </a:rPr>
                <a:t>  〗 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149087</xdr:colOff>
      <xdr:row>50</xdr:row>
      <xdr:rowOff>49697</xdr:rowOff>
    </xdr:from>
    <xdr:ext cx="11984935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5DE5AA84-AC27-498B-8A97-B21C9FE6E899}"/>
                </a:ext>
              </a:extLst>
            </xdr:cNvPr>
            <xdr:cNvSpPr txBox="1"/>
          </xdr:nvSpPr>
          <xdr:spPr>
            <a:xfrm>
              <a:off x="911087" y="9417327"/>
              <a:ext cx="11984935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𝛿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e>
                            </m:d>
                          </m:e>
                        </m:d>
                      </m:e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5DE5AA84-AC27-498B-8A97-B21C9FE6E899}"/>
                </a:ext>
              </a:extLst>
            </xdr:cNvPr>
            <xdr:cNvSpPr txBox="1"/>
          </xdr:nvSpPr>
          <xdr:spPr>
            <a:xfrm>
              <a:off x="911087" y="9417327"/>
              <a:ext cx="11984935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Δ=𝜃^2+𝐵_𝑖 [(𝛿−1)]^(𝑎_𝑖 ) 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149087</xdr:colOff>
      <xdr:row>52</xdr:row>
      <xdr:rowOff>69576</xdr:rowOff>
    </xdr:from>
    <xdr:ext cx="11984935" cy="190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1455173-122F-4E47-8E06-2449EF12B77C}"/>
                </a:ext>
              </a:extLst>
            </xdr:cNvPr>
            <xdr:cNvSpPr txBox="1"/>
          </xdr:nvSpPr>
          <xdr:spPr>
            <a:xfrm>
              <a:off x="911087" y="9818206"/>
              <a:ext cx="11984935" cy="190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𝜃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</m:d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−1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1/(2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1455173-122F-4E47-8E06-2449EF12B77C}"/>
                </a:ext>
              </a:extLst>
            </xdr:cNvPr>
            <xdr:cNvSpPr txBox="1"/>
          </xdr:nvSpPr>
          <xdr:spPr>
            <a:xfrm>
              <a:off x="911087" y="9818206"/>
              <a:ext cx="11984935" cy="190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𝜃=(1−𝜏)+𝐴_𝑖 [(𝛿−1)^2 ]^(1/(2𝛽_𝑖))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149087</xdr:colOff>
      <xdr:row>54</xdr:row>
      <xdr:rowOff>49696</xdr:rowOff>
    </xdr:from>
    <xdr:ext cx="11984935" cy="190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C68C7D11-C9DE-4209-8A87-B9AAC85775C2}"/>
                </a:ext>
              </a:extLst>
            </xdr:cNvPr>
            <xdr:cNvSpPr txBox="1"/>
          </xdr:nvSpPr>
          <xdr:spPr>
            <a:xfrm>
              <a:off x="911087" y="10179326"/>
              <a:ext cx="11984935" cy="190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Ψ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𝛿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e>
                            </m:d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𝜏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e>
                            </m:d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C68C7D11-C9DE-4209-8A87-B9AAC85775C2}"/>
                </a:ext>
              </a:extLst>
            </xdr:cNvPr>
            <xdr:cNvSpPr txBox="1"/>
          </xdr:nvSpPr>
          <xdr:spPr>
            <a:xfrm>
              <a:off x="911087" y="10179326"/>
              <a:ext cx="11984935" cy="190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Ψ=𝑒^(−𝐶_𝑖 (𝛿−1)^2−𝐷_𝑖 (𝜏−1)^2 )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83553</xdr:colOff>
      <xdr:row>59</xdr:row>
      <xdr:rowOff>83552</xdr:rowOff>
    </xdr:from>
    <xdr:ext cx="4561974" cy="4428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6B333393-5D63-4B1C-8AAF-E8D0D6F9CF8E}"/>
                </a:ext>
              </a:extLst>
            </xdr:cNvPr>
            <xdr:cNvSpPr txBox="1"/>
          </xdr:nvSpPr>
          <xdr:spPr>
            <a:xfrm>
              <a:off x="4628816" y="11580394"/>
              <a:ext cx="4561974" cy="4428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𝜙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𝛿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</m:d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𝛿</m:t>
                            </m:r>
                          </m:e>
                        </m:d>
                      </m:e>
                    </m:func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</a:rPr>
                      <m:t>𝜏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bSup>
                    <m:func>
                      <m:func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</m:d>
                      </m:e>
                    </m:func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nary>
                      <m:naryPr>
                        <m:chr m:val="∑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=4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8</m:t>
                        </m:r>
                      </m:sup>
                      <m:e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p>
                        </m:sSubSup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⁡[1−</m:t>
                        </m:r>
                        <m:func>
                          <m:func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ES" sz="1100" b="0" i="0">
                                <a:latin typeface="Cambria Math" panose="02040503050406030204" pitchFamily="18" charset="0"/>
                              </a:rPr>
                              <m:t>exp</m:t>
                            </m:r>
                          </m:fName>
                          <m:e>
                            <m:d>
                              <m:d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𝜏</m:t>
                                </m:r>
                                <m:sSubSup>
                                  <m:sSub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𝑜</m:t>
                                    </m:r>
                                  </m:sup>
                                </m:sSubSup>
                              </m:e>
                            </m:d>
                          </m:e>
                        </m:func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6B333393-5D63-4B1C-8AAF-E8D0D6F9CF8E}"/>
                </a:ext>
              </a:extLst>
            </xdr:cNvPr>
            <xdr:cNvSpPr txBox="1"/>
          </xdr:nvSpPr>
          <xdr:spPr>
            <a:xfrm>
              <a:off x="4628816" y="11580394"/>
              <a:ext cx="4561974" cy="4428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𝜙^𝑜 (𝛿,𝜏)=ln⁡(𝛿)+𝑎_1^𝑜+𝑎_2^𝑜 𝜏+𝑎_3^𝑜  ln⁡(𝜏)+∑24_(𝑖=4)^8▒〖𝑎_𝑖^𝑜 ln⁡[1−exp⁡(−𝜏𝜃_𝑖^𝑜 )]〗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504825</xdr:colOff>
      <xdr:row>10</xdr:row>
      <xdr:rowOff>176212</xdr:rowOff>
    </xdr:from>
    <xdr:ext cx="35550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264C657F-9774-8492-2479-CB812C5C08A6}"/>
                </a:ext>
              </a:extLst>
            </xdr:cNvPr>
            <xdr:cNvSpPr txBox="1"/>
          </xdr:nvSpPr>
          <xdr:spPr>
            <a:xfrm>
              <a:off x="4781550" y="2147887"/>
              <a:ext cx="35550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𝜇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·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𝜌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𝐵𝑇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𝜌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;  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𝑎𝑛𝑑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𝜌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𝑘𝑔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/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264C657F-9774-8492-2479-CB812C5C08A6}"/>
                </a:ext>
              </a:extLst>
            </xdr:cNvPr>
            <xdr:cNvSpPr txBox="1"/>
          </xdr:nvSpPr>
          <xdr:spPr>
            <a:xfrm>
              <a:off x="4781550" y="2147887"/>
              <a:ext cx="35550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𝜇 [𝜇𝑃𝑎·𝑠]=𝐴𝜌+𝐵𝑇+𝐶𝜌𝑇+𝐷;   𝑇 𝑖𝑛 𝐾 𝑎𝑛𝑑 𝜌 𝑖𝑛 𝑘𝑔/𝑚^3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180975</xdr:colOff>
      <xdr:row>1</xdr:row>
      <xdr:rowOff>185737</xdr:rowOff>
    </xdr:from>
    <xdr:ext cx="3250057" cy="393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F7CFABCB-4A9E-8416-DFA8-8B62D34C4943}"/>
                </a:ext>
              </a:extLst>
            </xdr:cNvPr>
            <xdr:cNvSpPr txBox="1"/>
          </xdr:nvSpPr>
          <xdr:spPr>
            <a:xfrm>
              <a:off x="942975" y="576262"/>
              <a:ext cx="3250057" cy="393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𝑑𝑃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𝑑𝑧</m:t>
                        </m:r>
                      </m:den>
                    </m:f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begChr m:val=""/>
                            <m:endChr m:val="|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>
                                <a:latin typeface="Cambria Math" panose="02040503050406030204" pitchFamily="18" charset="0"/>
                              </a:rPr>
                              <m:t>​</m:t>
                            </m:r>
                          </m:e>
                        </m:d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𝐸𝑟𝑔𝑢𝑛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 =−150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𝜖</m:t>
                                </m:r>
                              </m:e>
                            </m:d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𝜖</m:t>
                            </m:r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𝑈</m:t>
                        </m:r>
                      </m:num>
                      <m:den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−1.75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𝜖</m:t>
                        </m:r>
                      </m:num>
                      <m:den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𝜖</m:t>
                            </m:r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𝜌</m:t>
                        </m:r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F7CFABCB-4A9E-8416-DFA8-8B62D34C4943}"/>
                </a:ext>
              </a:extLst>
            </xdr:cNvPr>
            <xdr:cNvSpPr txBox="1"/>
          </xdr:nvSpPr>
          <xdr:spPr>
            <a:xfrm>
              <a:off x="942975" y="576262"/>
              <a:ext cx="3250057" cy="393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𝑑𝑃/𝑑𝑧 |_𝐸𝑟𝑔𝑢𝑛  =−150 (1−𝜖)^2/𝜖^3   𝜇𝑈/(𝜙_𝑠^2 𝐷_𝑝^2 )−1.75 (1−𝜖)/𝜖^3 ∗(𝜌𝑈^2)/(𝜙_𝑠 𝐷_𝑝 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209550</xdr:colOff>
      <xdr:row>7</xdr:row>
      <xdr:rowOff>19050</xdr:rowOff>
    </xdr:from>
    <xdr:ext cx="1264705" cy="324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A2227CF-C209-4898-B1E0-5EC6A70BEC83}"/>
                </a:ext>
              </a:extLst>
            </xdr:cNvPr>
            <xdr:cNvSpPr txBox="1"/>
          </xdr:nvSpPr>
          <xdr:spPr>
            <a:xfrm>
              <a:off x="971550" y="1571625"/>
              <a:ext cx="1264705" cy="324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𝑑𝑃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𝑑𝑧</m:t>
                        </m:r>
                      </m:den>
                    </m:f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begChr m:val=""/>
                            <m:endChr m:val="|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>
                                <a:latin typeface="Cambria Math" panose="02040503050406030204" pitchFamily="18" charset="0"/>
                              </a:rPr>
                              <m:t>​</m:t>
                            </m:r>
                          </m:e>
                        </m:d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𝐸𝑙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 =−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𝜌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𝑔𝑠𝑖𝑛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𝜃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A2227CF-C209-4898-B1E0-5EC6A70BEC83}"/>
                </a:ext>
              </a:extLst>
            </xdr:cNvPr>
            <xdr:cNvSpPr txBox="1"/>
          </xdr:nvSpPr>
          <xdr:spPr>
            <a:xfrm>
              <a:off x="971550" y="1571625"/>
              <a:ext cx="1264705" cy="324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𝑑𝑃/𝑑𝑧 |_𝐸𝑙  =−𝜌𝑔𝑠𝑖𝑛(𝜃)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200025</xdr:colOff>
      <xdr:row>12</xdr:row>
      <xdr:rowOff>76200</xdr:rowOff>
    </xdr:from>
    <xdr:ext cx="1325812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01F5FD0-0DBB-401D-833A-8BEC257E85CF}"/>
                </a:ext>
              </a:extLst>
            </xdr:cNvPr>
            <xdr:cNvSpPr txBox="1"/>
          </xdr:nvSpPr>
          <xdr:spPr>
            <a:xfrm>
              <a:off x="962025" y="2600325"/>
              <a:ext cx="1325812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Δ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𝐸𝑟𝑔𝑢𝑛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Δ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𝐸𝑙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01F5FD0-0DBB-401D-833A-8BEC257E85CF}"/>
                </a:ext>
              </a:extLst>
            </xdr:cNvPr>
            <xdr:cNvSpPr txBox="1"/>
          </xdr:nvSpPr>
          <xdr:spPr>
            <a:xfrm>
              <a:off x="962025" y="2600325"/>
              <a:ext cx="1325812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Δ𝑃=Δ𝑃_𝐸𝑟𝑔𝑢𝑛+Δ𝑃_𝐸𝑙</a:t>
              </a:r>
              <a:endParaRPr lang="es-CO" sz="11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Unilever">
      <a:dk1>
        <a:srgbClr val="000000"/>
      </a:dk1>
      <a:lt1>
        <a:srgbClr val="FFFFFF"/>
      </a:lt1>
      <a:dk2>
        <a:srgbClr val="1F36C7"/>
      </a:dk2>
      <a:lt2>
        <a:srgbClr val="E7E6E6"/>
      </a:lt2>
      <a:accent1>
        <a:srgbClr val="005EEF"/>
      </a:accent1>
      <a:accent2>
        <a:srgbClr val="FFE200"/>
      </a:accent2>
      <a:accent3>
        <a:srgbClr val="F751C7"/>
      </a:accent3>
      <a:accent4>
        <a:srgbClr val="00D6C3"/>
      </a:accent4>
      <a:accent5>
        <a:srgbClr val="9C44C0"/>
      </a:accent5>
      <a:accent6>
        <a:srgbClr val="FF544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mailto:jc_delacruzalzate@protonmail.ch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6F013-15D7-4401-A02D-CA9E50BA4069}">
  <sheetPr codeName="Hoja6"/>
  <dimension ref="B1:J41"/>
  <sheetViews>
    <sheetView showGridLines="0" zoomScale="151" workbookViewId="0">
      <selection activeCell="F42" sqref="F42"/>
    </sheetView>
  </sheetViews>
  <sheetFormatPr baseColWidth="10" defaultColWidth="11.42578125" defaultRowHeight="15" x14ac:dyDescent="0.25"/>
  <cols>
    <col min="1" max="1" width="3.42578125" style="180" customWidth="1"/>
    <col min="2" max="2" width="32.85546875" style="180" bestFit="1" customWidth="1"/>
    <col min="3" max="3" width="11.42578125" style="180"/>
    <col min="4" max="4" width="16" style="180" customWidth="1"/>
    <col min="5" max="5" width="2.42578125" style="180" customWidth="1"/>
    <col min="6" max="6" width="37.140625" style="180" bestFit="1" customWidth="1"/>
    <col min="7" max="7" width="17.140625" style="180" bestFit="1" customWidth="1"/>
    <col min="8" max="16384" width="11.42578125" style="180"/>
  </cols>
  <sheetData>
    <row r="1" spans="2:10" ht="15.75" thickBot="1" x14ac:dyDescent="0.3">
      <c r="B1" s="702"/>
      <c r="C1" s="702"/>
    </row>
    <row r="2" spans="2:10" ht="15.75" thickBot="1" x14ac:dyDescent="0.3">
      <c r="B2" s="697" t="s">
        <v>0</v>
      </c>
      <c r="C2" s="698"/>
      <c r="D2" s="699"/>
      <c r="F2" s="700" t="s">
        <v>1</v>
      </c>
      <c r="G2" s="701"/>
    </row>
    <row r="3" spans="2:10" x14ac:dyDescent="0.25">
      <c r="B3" s="181" t="s">
        <v>2</v>
      </c>
      <c r="C3" s="182">
        <v>13</v>
      </c>
      <c r="D3" s="183" t="s">
        <v>3</v>
      </c>
      <c r="F3" s="184" t="s">
        <v>4</v>
      </c>
      <c r="G3" s="185">
        <v>0.3</v>
      </c>
    </row>
    <row r="4" spans="2:10" x14ac:dyDescent="0.25">
      <c r="B4" s="186" t="s">
        <v>5</v>
      </c>
      <c r="C4" s="187">
        <v>25</v>
      </c>
      <c r="D4" s="154" t="s">
        <v>6</v>
      </c>
      <c r="F4" s="188" t="s">
        <v>7</v>
      </c>
      <c r="G4" s="189">
        <v>10</v>
      </c>
    </row>
    <row r="5" spans="2:10" x14ac:dyDescent="0.25">
      <c r="B5" s="201" t="s">
        <v>8</v>
      </c>
      <c r="C5" s="202">
        <f>EXT_TIME*N_EXTRACTION_PER_OPERDAY/60</f>
        <v>23.75</v>
      </c>
      <c r="D5" s="152" t="s">
        <v>9</v>
      </c>
      <c r="F5" s="188" t="s">
        <v>10</v>
      </c>
      <c r="G5" s="189">
        <v>0.85</v>
      </c>
    </row>
    <row r="6" spans="2:10" ht="15.75" thickBot="1" x14ac:dyDescent="0.3">
      <c r="B6" s="190" t="s">
        <v>11</v>
      </c>
      <c r="C6" s="203">
        <v>341</v>
      </c>
      <c r="D6" s="191" t="s">
        <v>12</v>
      </c>
      <c r="F6" s="192" t="s">
        <v>13</v>
      </c>
      <c r="G6" s="189">
        <v>0.2</v>
      </c>
    </row>
    <row r="7" spans="2:10" ht="15.75" thickBot="1" x14ac:dyDescent="0.3">
      <c r="F7" s="188" t="s">
        <v>14</v>
      </c>
      <c r="G7" s="189">
        <v>9</v>
      </c>
    </row>
    <row r="8" spans="2:10" ht="18.75" thickBot="1" x14ac:dyDescent="0.3">
      <c r="B8" s="697" t="s">
        <v>15</v>
      </c>
      <c r="C8" s="698"/>
      <c r="D8" s="699"/>
      <c r="F8" s="201" t="s">
        <v>16</v>
      </c>
      <c r="G8" s="375">
        <v>0.01</v>
      </c>
    </row>
    <row r="9" spans="2:10" x14ac:dyDescent="0.25">
      <c r="B9" s="706" t="s">
        <v>17</v>
      </c>
      <c r="C9" s="707"/>
      <c r="D9" s="708"/>
      <c r="F9" s="188" t="s">
        <v>18</v>
      </c>
      <c r="G9" s="189">
        <v>1.1000000000000001</v>
      </c>
    </row>
    <row r="10" spans="2:10" x14ac:dyDescent="0.25">
      <c r="B10" s="193" t="s">
        <v>19</v>
      </c>
      <c r="C10" s="194">
        <v>2100</v>
      </c>
      <c r="D10" s="195" t="s">
        <v>20</v>
      </c>
      <c r="F10" s="201" t="s">
        <v>21</v>
      </c>
      <c r="G10" s="375">
        <v>1.5</v>
      </c>
    </row>
    <row r="11" spans="2:10" x14ac:dyDescent="0.25">
      <c r="B11" s="193" t="s">
        <v>22</v>
      </c>
      <c r="C11" s="194">
        <v>50</v>
      </c>
      <c r="D11" s="195" t="s">
        <v>6</v>
      </c>
      <c r="F11" s="201" t="s">
        <v>23</v>
      </c>
      <c r="G11" s="400">
        <v>0.74048000000000003</v>
      </c>
      <c r="J11" s="399"/>
    </row>
    <row r="12" spans="2:10" x14ac:dyDescent="0.25">
      <c r="B12" s="188" t="s">
        <v>24</v>
      </c>
      <c r="C12" s="194">
        <v>6.1499999999999999E-2</v>
      </c>
      <c r="D12" s="195" t="s">
        <v>25</v>
      </c>
      <c r="F12" s="201" t="s">
        <v>26</v>
      </c>
      <c r="G12" s="400">
        <v>0.64</v>
      </c>
    </row>
    <row r="13" spans="2:10" ht="15.75" thickBot="1" x14ac:dyDescent="0.3">
      <c r="B13" s="188" t="s">
        <v>27</v>
      </c>
      <c r="C13" s="194">
        <v>9.0800000000000006E-2</v>
      </c>
      <c r="D13" s="195" t="s">
        <v>25</v>
      </c>
      <c r="F13" s="190" t="s">
        <v>28</v>
      </c>
      <c r="G13" s="376">
        <v>0.8</v>
      </c>
    </row>
    <row r="14" spans="2:10" ht="15.75" thickBot="1" x14ac:dyDescent="0.3">
      <c r="B14" s="188" t="s">
        <v>29</v>
      </c>
      <c r="C14" s="194">
        <v>75</v>
      </c>
      <c r="D14" s="195" t="s">
        <v>30</v>
      </c>
    </row>
    <row r="15" spans="2:10" x14ac:dyDescent="0.25">
      <c r="B15" s="188" t="s">
        <v>31</v>
      </c>
      <c r="C15" s="194">
        <v>0.21099999999999999</v>
      </c>
      <c r="D15" s="195" t="s">
        <v>32</v>
      </c>
      <c r="F15" s="517" t="s">
        <v>33</v>
      </c>
      <c r="G15" s="524">
        <v>0.126</v>
      </c>
      <c r="H15" s="518" t="s">
        <v>34</v>
      </c>
    </row>
    <row r="16" spans="2:10" x14ac:dyDescent="0.25">
      <c r="B16" s="188" t="s">
        <v>35</v>
      </c>
      <c r="C16" s="194">
        <f>ROUND(24*60/EXT_TIME,0)</f>
        <v>19</v>
      </c>
      <c r="D16" s="195" t="s">
        <v>36</v>
      </c>
      <c r="F16" s="525"/>
      <c r="G16" s="486"/>
      <c r="H16" s="527"/>
    </row>
    <row r="17" spans="2:8" ht="18" x14ac:dyDescent="0.25">
      <c r="B17" s="188" t="s">
        <v>37</v>
      </c>
      <c r="C17" s="196">
        <f>(SOLVENT_FEED_RATIO*C35)*60</f>
        <v>120.60054856506281</v>
      </c>
      <c r="D17" s="195" t="s">
        <v>38</v>
      </c>
      <c r="F17" s="525" t="s">
        <v>39</v>
      </c>
      <c r="G17" s="528">
        <v>64733200</v>
      </c>
      <c r="H17" s="520" t="s">
        <v>40</v>
      </c>
    </row>
    <row r="18" spans="2:8" x14ac:dyDescent="0.25">
      <c r="B18" s="703" t="s">
        <v>41</v>
      </c>
      <c r="C18" s="704"/>
      <c r="D18" s="705"/>
      <c r="F18" s="519" t="s">
        <v>42</v>
      </c>
      <c r="G18" s="528">
        <v>27075520</v>
      </c>
      <c r="H18" s="520" t="s">
        <v>40</v>
      </c>
    </row>
    <row r="19" spans="2:8" x14ac:dyDescent="0.25">
      <c r="B19" s="188" t="s">
        <v>43</v>
      </c>
      <c r="C19" s="194">
        <v>1</v>
      </c>
      <c r="D19" s="195" t="s">
        <v>25</v>
      </c>
      <c r="F19" s="519" t="s">
        <v>44</v>
      </c>
      <c r="G19" s="528">
        <v>39997840</v>
      </c>
      <c r="H19" s="520" t="s">
        <v>40</v>
      </c>
    </row>
    <row r="20" spans="2:8" x14ac:dyDescent="0.25">
      <c r="B20" s="188" t="s">
        <v>45</v>
      </c>
      <c r="C20" s="194">
        <v>0.89</v>
      </c>
      <c r="D20" s="195" t="s">
        <v>46</v>
      </c>
      <c r="F20" s="519"/>
      <c r="G20" s="486"/>
      <c r="H20" s="527"/>
    </row>
    <row r="21" spans="2:8" x14ac:dyDescent="0.25">
      <c r="B21" s="188" t="s">
        <v>47</v>
      </c>
      <c r="C21" s="194">
        <v>0.4</v>
      </c>
      <c r="D21" s="195" t="s">
        <v>48</v>
      </c>
      <c r="F21" s="526" t="s">
        <v>49</v>
      </c>
      <c r="G21" s="528">
        <f>( 1.1*(1.34) )</f>
        <v>1.4740000000000002</v>
      </c>
      <c r="H21" s="520" t="s">
        <v>50</v>
      </c>
    </row>
    <row r="22" spans="2:8" x14ac:dyDescent="0.25">
      <c r="B22" s="188" t="s">
        <v>51</v>
      </c>
      <c r="C22" s="194">
        <v>0.6</v>
      </c>
      <c r="D22" s="195" t="s">
        <v>25</v>
      </c>
      <c r="F22" s="522" t="s">
        <v>52</v>
      </c>
      <c r="G22" s="528">
        <f>( 1.5*(1.34) )</f>
        <v>2.0100000000000002</v>
      </c>
      <c r="H22" s="520" t="s">
        <v>53</v>
      </c>
    </row>
    <row r="23" spans="2:8" ht="15.75" thickBot="1" x14ac:dyDescent="0.3">
      <c r="B23" s="703" t="s">
        <v>54</v>
      </c>
      <c r="C23" s="704"/>
      <c r="D23" s="705"/>
      <c r="F23" s="523" t="s">
        <v>55</v>
      </c>
      <c r="G23" s="529">
        <f>0.022*1.052</f>
        <v>2.3144000000000001E-2</v>
      </c>
      <c r="H23" s="521" t="s">
        <v>50</v>
      </c>
    </row>
    <row r="24" spans="2:8" ht="15.75" thickBot="1" x14ac:dyDescent="0.3">
      <c r="B24" s="188" t="s">
        <v>56</v>
      </c>
      <c r="C24" s="196">
        <f>1000*(    (4/L_D_RATIO)*(0.001*FEED/BED_PACK_DENSITY)*(1/PI())    )^(1/3)</f>
        <v>144.74000000000004</v>
      </c>
      <c r="D24" s="195" t="s">
        <v>46</v>
      </c>
    </row>
    <row r="25" spans="2:8" ht="15.75" thickBot="1" x14ac:dyDescent="0.3">
      <c r="B25" s="190" t="s">
        <v>57</v>
      </c>
      <c r="C25" s="197">
        <f>EXTRACTOR_DIAMETER*L_D_RATIO</f>
        <v>1447.4000000000003</v>
      </c>
      <c r="D25" s="191" t="s">
        <v>46</v>
      </c>
      <c r="F25" s="512" t="s">
        <v>58</v>
      </c>
      <c r="G25" s="549">
        <v>0.25</v>
      </c>
      <c r="H25" s="516" t="s">
        <v>25</v>
      </c>
    </row>
    <row r="26" spans="2:8" ht="15.75" thickBot="1" x14ac:dyDescent="0.3"/>
    <row r="27" spans="2:8" ht="15.75" thickBot="1" x14ac:dyDescent="0.3">
      <c r="B27" s="697" t="s">
        <v>59</v>
      </c>
      <c r="C27" s="698"/>
      <c r="D27" s="699"/>
      <c r="F27" s="512" t="s">
        <v>60</v>
      </c>
      <c r="G27" s="549">
        <v>0.35</v>
      </c>
      <c r="H27" s="516" t="s">
        <v>25</v>
      </c>
    </row>
    <row r="28" spans="2:8" ht="15.75" thickBot="1" x14ac:dyDescent="0.3">
      <c r="B28" s="181" t="s">
        <v>61</v>
      </c>
      <c r="C28" s="198">
        <v>0.66</v>
      </c>
      <c r="D28" s="183" t="s">
        <v>62</v>
      </c>
    </row>
    <row r="29" spans="2:8" ht="15.75" thickBot="1" x14ac:dyDescent="0.3">
      <c r="B29" s="188" t="s">
        <v>63</v>
      </c>
      <c r="C29" s="194">
        <v>0.04</v>
      </c>
      <c r="D29" s="195" t="s">
        <v>62</v>
      </c>
      <c r="F29" s="512" t="s">
        <v>64</v>
      </c>
      <c r="G29" s="549">
        <v>0.25</v>
      </c>
      <c r="H29" s="516" t="s">
        <v>25</v>
      </c>
    </row>
    <row r="30" spans="2:8" ht="15.75" thickBot="1" x14ac:dyDescent="0.3">
      <c r="B30" s="188" t="s">
        <v>65</v>
      </c>
      <c r="C30" s="194">
        <v>0.68547000000000002</v>
      </c>
      <c r="D30" s="195" t="s">
        <v>48</v>
      </c>
    </row>
    <row r="31" spans="2:8" ht="15.75" thickBot="1" x14ac:dyDescent="0.3">
      <c r="B31" s="188" t="s">
        <v>66</v>
      </c>
      <c r="C31" s="196">
        <v>730.06823775895305</v>
      </c>
      <c r="D31" s="195" t="s">
        <v>67</v>
      </c>
      <c r="F31" s="512" t="s">
        <v>68</v>
      </c>
      <c r="G31" s="667">
        <f>'ECONOMIC ANALYSIS'!L50</f>
        <v>135.08250415256254</v>
      </c>
      <c r="H31" s="516" t="s">
        <v>50</v>
      </c>
    </row>
    <row r="32" spans="2:8" x14ac:dyDescent="0.25">
      <c r="B32" s="188" t="s">
        <v>69</v>
      </c>
      <c r="C32" s="196">
        <f>( (1-MOISTURE_INITIAL)/(1-MOISTURE_FINAL) )*RAW_TOTAL</f>
        <v>258.56583420629585</v>
      </c>
      <c r="D32" s="195" t="s">
        <v>67</v>
      </c>
    </row>
    <row r="33" spans="2:6" x14ac:dyDescent="0.25">
      <c r="B33" s="188" t="s">
        <v>70</v>
      </c>
      <c r="C33" s="199">
        <f>RAW_TOTAL_DRY*DF_SIFT</f>
        <v>77.569750261888757</v>
      </c>
      <c r="D33" s="195" t="s">
        <v>67</v>
      </c>
    </row>
    <row r="34" spans="2:6" x14ac:dyDescent="0.25">
      <c r="B34" s="188" t="s">
        <v>71</v>
      </c>
      <c r="C34" s="196">
        <f>RAW_TOTAL_DRY-RAW_TOTAL_LOSS</f>
        <v>180.99608394440708</v>
      </c>
      <c r="D34" s="195" t="s">
        <v>67</v>
      </c>
    </row>
    <row r="35" spans="2:6" ht="15.75" thickBot="1" x14ac:dyDescent="0.3">
      <c r="B35" s="190" t="s">
        <v>72</v>
      </c>
      <c r="C35" s="200">
        <f>RAW_TOTAL_DRYSIFT/N_EXTRACTION_PER_OPERDAY</f>
        <v>9.5261096812845825</v>
      </c>
      <c r="D35" s="191" t="s">
        <v>73</v>
      </c>
    </row>
    <row r="38" spans="2:6" x14ac:dyDescent="0.25">
      <c r="B38" s="1036" t="s">
        <v>551</v>
      </c>
      <c r="C38" s="1037" t="s">
        <v>557</v>
      </c>
      <c r="D38" s="1038"/>
      <c r="E38" s="1038"/>
      <c r="F38" s="1038"/>
    </row>
    <row r="39" spans="2:6" x14ac:dyDescent="0.25">
      <c r="B39" s="1036" t="s">
        <v>552</v>
      </c>
      <c r="C39" s="1038"/>
      <c r="D39" s="1038"/>
      <c r="E39" s="1038"/>
      <c r="F39" s="1038"/>
    </row>
    <row r="40" spans="2:6" x14ac:dyDescent="0.25">
      <c r="B40" s="1036" t="s">
        <v>553</v>
      </c>
      <c r="C40" s="1039" t="s">
        <v>555</v>
      </c>
      <c r="D40" s="1038"/>
      <c r="E40" s="1038"/>
      <c r="F40" s="1038"/>
    </row>
    <row r="41" spans="2:6" x14ac:dyDescent="0.25">
      <c r="B41" s="1036" t="s">
        <v>554</v>
      </c>
      <c r="C41" s="1037" t="s">
        <v>556</v>
      </c>
      <c r="D41" s="1038"/>
      <c r="E41" s="1038"/>
      <c r="F41" s="1038"/>
    </row>
  </sheetData>
  <mergeCells count="8">
    <mergeCell ref="B27:D27"/>
    <mergeCell ref="F2:G2"/>
    <mergeCell ref="B2:D2"/>
    <mergeCell ref="B1:C1"/>
    <mergeCell ref="B18:D18"/>
    <mergeCell ref="B9:D9"/>
    <mergeCell ref="B8:D8"/>
    <mergeCell ref="B23:D23"/>
  </mergeCells>
  <hyperlinks>
    <hyperlink ref="C40" r:id="rId1" xr:uid="{E58857F5-749B-4769-8E11-76C36B854946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259D7-F9B1-4ED0-8CEE-4152191713F5}">
  <sheetPr codeName="Hoja1"/>
  <dimension ref="B1:BG120"/>
  <sheetViews>
    <sheetView showGridLines="0" topLeftCell="H35" zoomScaleNormal="100" workbookViewId="0">
      <selection activeCell="BA31" sqref="BA31"/>
    </sheetView>
  </sheetViews>
  <sheetFormatPr baseColWidth="10" defaultColWidth="11.42578125" defaultRowHeight="15" x14ac:dyDescent="0.25"/>
  <cols>
    <col min="1" max="1" width="5.42578125" style="442" customWidth="1"/>
    <col min="2" max="2" width="7.5703125" style="442" customWidth="1"/>
    <col min="3" max="25" width="11.42578125" style="442"/>
    <col min="26" max="26" width="12.42578125" style="442" bestFit="1" customWidth="1"/>
    <col min="27" max="45" width="11.42578125" style="442"/>
    <col min="46" max="46" width="7.5703125" style="442" customWidth="1"/>
    <col min="47" max="47" width="5.7109375" style="442" customWidth="1"/>
    <col min="48" max="48" width="3.7109375" style="442" customWidth="1"/>
    <col min="49" max="53" width="11.42578125" style="442"/>
    <col min="54" max="54" width="12.42578125" style="442" bestFit="1" customWidth="1"/>
    <col min="55" max="55" width="11.85546875" style="442" bestFit="1" customWidth="1"/>
    <col min="56" max="58" width="11.42578125" style="442"/>
    <col min="59" max="59" width="3.7109375" style="442" customWidth="1"/>
    <col min="60" max="16384" width="11.42578125" style="442"/>
  </cols>
  <sheetData>
    <row r="1" spans="2:59" ht="15.75" thickBot="1" x14ac:dyDescent="0.3"/>
    <row r="2" spans="2:59" ht="15.75" thickBot="1" x14ac:dyDescent="0.3">
      <c r="B2" s="434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35"/>
      <c r="AP2" s="435"/>
      <c r="AQ2" s="435"/>
      <c r="AR2" s="435"/>
      <c r="AS2" s="435"/>
      <c r="AT2" s="436"/>
      <c r="AV2" s="709" t="s">
        <v>74</v>
      </c>
      <c r="AW2" s="710"/>
      <c r="AX2" s="710"/>
      <c r="AY2" s="710"/>
      <c r="AZ2" s="710"/>
      <c r="BA2" s="710"/>
      <c r="BB2" s="710"/>
      <c r="BC2" s="710"/>
      <c r="BD2" s="710"/>
      <c r="BE2" s="710"/>
      <c r="BF2" s="710"/>
      <c r="BG2" s="711"/>
    </row>
    <row r="3" spans="2:59" ht="15.75" thickBot="1" x14ac:dyDescent="0.3">
      <c r="B3" s="416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414"/>
      <c r="AS3" s="414"/>
      <c r="AT3" s="415"/>
      <c r="AV3" s="434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6"/>
    </row>
    <row r="4" spans="2:59" ht="15.75" thickBot="1" x14ac:dyDescent="0.3">
      <c r="B4" s="416"/>
      <c r="C4" s="414"/>
      <c r="D4" s="184" t="s">
        <v>75</v>
      </c>
      <c r="E4" s="406">
        <f>( (48000/1000)*810.72 )/OPER_YEAR</f>
        <v>114.11894428152492</v>
      </c>
      <c r="F4" s="407" t="s">
        <v>76</v>
      </c>
      <c r="G4" s="414"/>
      <c r="H4" s="414"/>
      <c r="I4" s="414"/>
      <c r="J4" s="597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4"/>
      <c r="W4" s="414"/>
      <c r="X4" s="414"/>
      <c r="Y4" s="414"/>
      <c r="Z4" s="414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414"/>
      <c r="AS4" s="414"/>
      <c r="AT4" s="415"/>
      <c r="AV4" s="416"/>
      <c r="AW4" s="736" t="s">
        <v>77</v>
      </c>
      <c r="AX4" s="737"/>
      <c r="AY4" s="737"/>
      <c r="AZ4" s="737"/>
      <c r="BA4" s="737"/>
      <c r="BB4" s="737"/>
      <c r="BC4" s="737"/>
      <c r="BD4" s="737"/>
      <c r="BE4" s="737"/>
      <c r="BF4" s="738"/>
      <c r="BG4" s="415"/>
    </row>
    <row r="5" spans="2:59" ht="15.75" thickBot="1" x14ac:dyDescent="0.3">
      <c r="B5" s="416"/>
      <c r="C5" s="414"/>
      <c r="D5" s="181" t="s">
        <v>19</v>
      </c>
      <c r="E5" s="182">
        <f>PRESSURE_ATM</f>
        <v>13</v>
      </c>
      <c r="F5" s="183" t="s">
        <v>3</v>
      </c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414"/>
      <c r="AS5" s="414"/>
      <c r="AT5" s="415"/>
      <c r="AV5" s="416"/>
      <c r="AW5" s="414"/>
      <c r="AX5" s="414"/>
      <c r="AY5" s="414"/>
      <c r="AZ5" s="414"/>
      <c r="BA5" s="414"/>
      <c r="BB5" s="414"/>
      <c r="BC5" s="414"/>
      <c r="BD5" s="414"/>
      <c r="BE5" s="414"/>
      <c r="BF5" s="414"/>
      <c r="BG5" s="415"/>
    </row>
    <row r="6" spans="2:59" ht="15.75" thickBot="1" x14ac:dyDescent="0.3">
      <c r="B6" s="416"/>
      <c r="C6" s="414"/>
      <c r="D6" s="188" t="s">
        <v>78</v>
      </c>
      <c r="E6" s="408">
        <v>-196.82</v>
      </c>
      <c r="F6" s="195" t="s">
        <v>6</v>
      </c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414"/>
      <c r="AS6" s="414"/>
      <c r="AT6" s="415"/>
      <c r="AV6" s="416"/>
      <c r="AW6" s="750"/>
      <c r="AX6" s="750"/>
      <c r="AY6" s="750"/>
      <c r="AZ6" s="750"/>
      <c r="BA6" s="414"/>
      <c r="BB6" s="459" t="s">
        <v>79</v>
      </c>
      <c r="BC6" s="460" t="s">
        <v>80</v>
      </c>
      <c r="BD6" s="460" t="s">
        <v>81</v>
      </c>
      <c r="BE6" s="460" t="s">
        <v>82</v>
      </c>
      <c r="BF6" s="461" t="s">
        <v>83</v>
      </c>
      <c r="BG6" s="415"/>
    </row>
    <row r="7" spans="2:59" ht="15.75" thickBot="1" x14ac:dyDescent="0.3">
      <c r="B7" s="416"/>
      <c r="C7" s="414"/>
      <c r="D7" s="190" t="s">
        <v>84</v>
      </c>
      <c r="E7" s="804" t="s">
        <v>85</v>
      </c>
      <c r="F7" s="805"/>
      <c r="G7" s="414"/>
      <c r="H7" s="414"/>
      <c r="I7" s="414"/>
      <c r="J7" s="414"/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5"/>
      <c r="AV7" s="416"/>
      <c r="AW7" s="744" t="s">
        <v>86</v>
      </c>
      <c r="AX7" s="745"/>
      <c r="AY7" s="745"/>
      <c r="AZ7" s="751"/>
      <c r="BA7" s="456" t="s">
        <v>87</v>
      </c>
      <c r="BB7" s="453">
        <v>24</v>
      </c>
      <c r="BC7" s="447">
        <v>24</v>
      </c>
      <c r="BD7" s="448">
        <f>5/60</f>
        <v>8.3333333333333329E-2</v>
      </c>
      <c r="BE7" s="448">
        <f>BD7</f>
        <v>8.3333333333333329E-2</v>
      </c>
      <c r="BF7" s="449">
        <f>24</f>
        <v>24</v>
      </c>
      <c r="BG7" s="415"/>
    </row>
    <row r="8" spans="2:59" x14ac:dyDescent="0.25">
      <c r="B8" s="416"/>
      <c r="C8" s="414"/>
      <c r="D8" s="414"/>
      <c r="E8" s="414"/>
      <c r="F8" s="414"/>
      <c r="G8" s="414"/>
      <c r="H8" s="414"/>
      <c r="I8" s="597"/>
      <c r="J8" s="414"/>
      <c r="K8" s="414"/>
      <c r="L8" s="414"/>
      <c r="M8" s="414"/>
      <c r="N8" s="598"/>
      <c r="O8" s="414"/>
      <c r="P8" s="414"/>
      <c r="Q8" s="414"/>
      <c r="R8" s="414"/>
      <c r="S8" s="414"/>
      <c r="T8" s="414"/>
      <c r="U8" s="414"/>
      <c r="V8" s="414"/>
      <c r="W8" s="414"/>
      <c r="X8" s="414"/>
      <c r="Y8" s="414"/>
      <c r="Z8" s="414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414"/>
      <c r="AS8" s="414"/>
      <c r="AT8" s="415"/>
      <c r="AV8" s="416"/>
      <c r="AW8" s="747" t="s">
        <v>88</v>
      </c>
      <c r="AX8" s="748"/>
      <c r="AY8" s="748"/>
      <c r="AZ8" s="752"/>
      <c r="BA8" s="462" t="s">
        <v>89</v>
      </c>
      <c r="BB8" s="463">
        <f>E4</f>
        <v>114.11894428152492</v>
      </c>
      <c r="BC8" s="464">
        <f>E33</f>
        <v>730.06823775895305</v>
      </c>
      <c r="BD8" s="465">
        <f>( ($N$44)/24 )*BD7</f>
        <v>2.5349591588852536</v>
      </c>
      <c r="BE8" s="465">
        <f>( ($N$44)/24 )*BE7</f>
        <v>2.5349591588852536</v>
      </c>
      <c r="BF8" s="466">
        <f>AJ32</f>
        <v>180.99608394440708</v>
      </c>
      <c r="BG8" s="415"/>
    </row>
    <row r="9" spans="2:59" x14ac:dyDescent="0.25">
      <c r="B9" s="416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4"/>
      <c r="O9" s="414"/>
      <c r="P9" s="414"/>
      <c r="Q9" s="414"/>
      <c r="R9" s="414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414"/>
      <c r="AS9" s="414"/>
      <c r="AT9" s="415"/>
      <c r="AV9" s="416"/>
      <c r="AW9" s="753" t="s">
        <v>90</v>
      </c>
      <c r="AX9" s="754"/>
      <c r="AY9" s="754"/>
      <c r="AZ9" s="755"/>
      <c r="BA9" s="457" t="s">
        <v>91</v>
      </c>
      <c r="BB9" s="454">
        <f>1000*BB8/810.72</f>
        <v>140.76246334310849</v>
      </c>
      <c r="BC9" s="446">
        <f>(BC8/SEED_BULK_DENSITY)/SPHERE_PACKED_FACTOR</f>
        <v>1664.1598049489605</v>
      </c>
      <c r="BD9" s="445">
        <f>(BD8/SEED_BULK_DENSITY)/SPHERE_PACKED_FACTOR</f>
        <v>5.7783326560727799</v>
      </c>
      <c r="BE9" s="445">
        <f>(BE8/SEED_BULK_DENSITY)/SPHERE_PACKED_FACTOR</f>
        <v>5.7783326560727799</v>
      </c>
      <c r="BF9" s="450">
        <f>BF8/BED_PACK_DENSITY</f>
        <v>452.49020986101766</v>
      </c>
      <c r="BG9" s="415"/>
    </row>
    <row r="10" spans="2:59" ht="15.75" thickBot="1" x14ac:dyDescent="0.3">
      <c r="B10" s="416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599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A10" s="414"/>
      <c r="AB10" s="414"/>
      <c r="AC10" s="414"/>
      <c r="AD10" s="414"/>
      <c r="AE10" s="414"/>
      <c r="AF10" s="414"/>
      <c r="AG10" s="414"/>
      <c r="AH10" s="414"/>
      <c r="AI10" s="414"/>
      <c r="AJ10" s="414"/>
      <c r="AK10" s="414"/>
      <c r="AL10" s="414"/>
      <c r="AM10" s="414"/>
      <c r="AN10" s="414"/>
      <c r="AO10" s="414"/>
      <c r="AP10" s="414"/>
      <c r="AQ10" s="414"/>
      <c r="AR10" s="414"/>
      <c r="AS10" s="414"/>
      <c r="AT10" s="415"/>
      <c r="AV10" s="416"/>
      <c r="AW10" s="747" t="s">
        <v>92</v>
      </c>
      <c r="AX10" s="748"/>
      <c r="AY10" s="748"/>
      <c r="AZ10" s="752"/>
      <c r="BA10" s="462" t="s">
        <v>91</v>
      </c>
      <c r="BB10" s="463">
        <f>BB9/MAX_FILL_VOLUME</f>
        <v>175.95307917888562</v>
      </c>
      <c r="BC10" s="467">
        <f>BC9/MAX_FILL_VOLUME</f>
        <v>2080.1997561862004</v>
      </c>
      <c r="BD10" s="465">
        <f>BD9/MAX_FILL_VOLUME</f>
        <v>7.2229158200909742</v>
      </c>
      <c r="BE10" s="465">
        <f>BE9/MAX_FILL_VOLUME</f>
        <v>7.2229158200909742</v>
      </c>
      <c r="BF10" s="466">
        <f>BF9/MAX_FILL_VOLUME</f>
        <v>565.61276232627199</v>
      </c>
      <c r="BG10" s="415"/>
    </row>
    <row r="11" spans="2:59" ht="15.75" thickBot="1" x14ac:dyDescent="0.3">
      <c r="B11" s="416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>
        <f>1000*E4/810.72</f>
        <v>140.76246334310849</v>
      </c>
      <c r="N11" s="414"/>
      <c r="O11" s="414"/>
      <c r="P11" s="414"/>
      <c r="Q11" s="414"/>
      <c r="R11" s="414"/>
      <c r="S11" s="414"/>
      <c r="T11" s="414"/>
      <c r="U11" s="184" t="s">
        <v>75</v>
      </c>
      <c r="V11" s="406">
        <f>M30</f>
        <v>114.11894428152492</v>
      </c>
      <c r="W11" s="407" t="s">
        <v>76</v>
      </c>
      <c r="X11" s="414"/>
      <c r="Y11" s="414"/>
      <c r="Z11" s="414"/>
      <c r="AA11" s="414"/>
      <c r="AB11" s="414"/>
      <c r="AC11" s="414"/>
      <c r="AD11" s="414"/>
      <c r="AE11" s="414"/>
      <c r="AF11" s="414"/>
      <c r="AG11" s="184" t="s">
        <v>75</v>
      </c>
      <c r="AH11" s="406">
        <f>AB17-AD28</f>
        <v>471.5024035526572</v>
      </c>
      <c r="AI11" s="407" t="s">
        <v>76</v>
      </c>
      <c r="AJ11" s="414"/>
      <c r="AK11" s="414"/>
      <c r="AL11" s="414"/>
      <c r="AM11" s="414"/>
      <c r="AN11" s="414"/>
      <c r="AO11" s="414"/>
      <c r="AP11" s="414"/>
      <c r="AQ11" s="414"/>
      <c r="AR11" s="414"/>
      <c r="AS11" s="414"/>
      <c r="AT11" s="415"/>
      <c r="AV11" s="416"/>
      <c r="AW11" s="756" t="s">
        <v>93</v>
      </c>
      <c r="AX11" s="757"/>
      <c r="AY11" s="757"/>
      <c r="AZ11" s="758"/>
      <c r="BA11" s="458" t="s">
        <v>91</v>
      </c>
      <c r="BB11" s="455">
        <v>500</v>
      </c>
      <c r="BC11" s="451">
        <v>2000</v>
      </c>
      <c r="BD11" s="451">
        <v>10</v>
      </c>
      <c r="BE11" s="451">
        <v>10</v>
      </c>
      <c r="BF11" s="452" t="s">
        <v>94</v>
      </c>
      <c r="BG11" s="415"/>
    </row>
    <row r="12" spans="2:59" x14ac:dyDescent="0.25">
      <c r="B12" s="416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14"/>
      <c r="O12" s="414"/>
      <c r="P12" s="414"/>
      <c r="Q12" s="414"/>
      <c r="R12" s="414"/>
      <c r="S12" s="414"/>
      <c r="T12" s="414"/>
      <c r="U12" s="181" t="s">
        <v>19</v>
      </c>
      <c r="V12" s="182">
        <f>X34</f>
        <v>13</v>
      </c>
      <c r="W12" s="183" t="s">
        <v>3</v>
      </c>
      <c r="X12" s="414"/>
      <c r="Y12" s="414"/>
      <c r="Z12" s="414"/>
      <c r="AA12" s="414"/>
      <c r="AB12" s="414"/>
      <c r="AC12" s="414"/>
      <c r="AD12" s="414"/>
      <c r="AE12" s="414"/>
      <c r="AF12" s="414"/>
      <c r="AG12" s="181" t="s">
        <v>19</v>
      </c>
      <c r="AH12" s="182">
        <f>AB18</f>
        <v>13</v>
      </c>
      <c r="AI12" s="183" t="s">
        <v>3</v>
      </c>
      <c r="AJ12" s="414"/>
      <c r="AK12" s="414"/>
      <c r="AL12" s="414"/>
      <c r="AM12" s="414"/>
      <c r="AN12" s="414"/>
      <c r="AO12" s="414"/>
      <c r="AP12" s="414"/>
      <c r="AQ12" s="414"/>
      <c r="AR12" s="414"/>
      <c r="AS12" s="414"/>
      <c r="AT12" s="415"/>
      <c r="AV12" s="416"/>
      <c r="AW12" s="727"/>
      <c r="AX12" s="727"/>
      <c r="AY12" s="727"/>
      <c r="AZ12" s="727"/>
      <c r="BA12" s="418"/>
      <c r="BB12" s="418"/>
      <c r="BC12" s="418"/>
      <c r="BD12" s="418"/>
      <c r="BE12" s="418"/>
      <c r="BF12" s="418"/>
      <c r="BG12" s="415"/>
    </row>
    <row r="13" spans="2:59" x14ac:dyDescent="0.25">
      <c r="B13" s="416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14"/>
      <c r="O13" s="414"/>
      <c r="P13" s="414"/>
      <c r="Q13" s="414"/>
      <c r="R13" s="414"/>
      <c r="S13" s="414"/>
      <c r="T13" s="414"/>
      <c r="U13" s="409"/>
      <c r="V13" s="410"/>
      <c r="W13" s="411"/>
      <c r="X13" s="414"/>
      <c r="Y13" s="414"/>
      <c r="Z13" s="414"/>
      <c r="AA13" s="414"/>
      <c r="AB13" s="414"/>
      <c r="AC13" s="414"/>
      <c r="AD13" s="414"/>
      <c r="AE13" s="414"/>
      <c r="AF13" s="414"/>
      <c r="AG13" s="409"/>
      <c r="AH13" s="410"/>
      <c r="AI13" s="411"/>
      <c r="AJ13" s="414"/>
      <c r="AK13" s="414"/>
      <c r="AL13" s="414"/>
      <c r="AM13" s="414"/>
      <c r="AN13" s="414"/>
      <c r="AO13" s="414"/>
      <c r="AP13" s="414"/>
      <c r="AQ13" s="414"/>
      <c r="AR13" s="414"/>
      <c r="AS13" s="414"/>
      <c r="AT13" s="415"/>
      <c r="AV13" s="416"/>
      <c r="AW13" s="728" t="s">
        <v>95</v>
      </c>
      <c r="AX13" s="728"/>
      <c r="AY13" s="728"/>
      <c r="AZ13" s="728"/>
      <c r="BA13" s="309" t="s">
        <v>96</v>
      </c>
      <c r="BB13" s="313">
        <v>2050</v>
      </c>
      <c r="BC13" s="313">
        <f>0.1*982900/4300</f>
        <v>22.858139534883723</v>
      </c>
      <c r="BD13" s="313">
        <v>200</v>
      </c>
      <c r="BE13" s="313">
        <f>BD13</f>
        <v>200</v>
      </c>
      <c r="BF13" s="313">
        <f>3*299.99</f>
        <v>899.97</v>
      </c>
      <c r="BG13" s="415"/>
    </row>
    <row r="14" spans="2:59" ht="15.75" thickBot="1" x14ac:dyDescent="0.3">
      <c r="B14" s="416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14"/>
      <c r="O14" s="414"/>
      <c r="P14" s="414"/>
      <c r="Q14" s="414"/>
      <c r="R14" s="414"/>
      <c r="S14" s="414"/>
      <c r="T14" s="414"/>
      <c r="U14" s="190" t="s">
        <v>84</v>
      </c>
      <c r="V14" s="806" t="s">
        <v>97</v>
      </c>
      <c r="W14" s="807"/>
      <c r="X14" s="414"/>
      <c r="Y14" s="414"/>
      <c r="Z14" s="414"/>
      <c r="AA14" s="414"/>
      <c r="AB14" s="414"/>
      <c r="AC14" s="414"/>
      <c r="AD14" s="414"/>
      <c r="AE14" s="414"/>
      <c r="AF14" s="414"/>
      <c r="AG14" s="190" t="s">
        <v>84</v>
      </c>
      <c r="AH14" s="792" t="s">
        <v>98</v>
      </c>
      <c r="AI14" s="793"/>
      <c r="AJ14" s="414"/>
      <c r="AK14" s="414"/>
      <c r="AL14" s="414"/>
      <c r="AM14" s="414"/>
      <c r="AN14" s="414"/>
      <c r="AO14" s="414"/>
      <c r="AP14" s="414"/>
      <c r="AQ14" s="414"/>
      <c r="AR14" s="414"/>
      <c r="AS14" s="414"/>
      <c r="AT14" s="415"/>
      <c r="AV14" s="416"/>
      <c r="AW14" s="728" t="s">
        <v>99</v>
      </c>
      <c r="AX14" s="728"/>
      <c r="AY14" s="728"/>
      <c r="AZ14" s="728"/>
      <c r="BA14" s="309" t="s">
        <v>96</v>
      </c>
      <c r="BB14" s="313">
        <v>380</v>
      </c>
      <c r="BC14" s="313">
        <v>0</v>
      </c>
      <c r="BD14" s="313">
        <v>0</v>
      </c>
      <c r="BE14" s="313">
        <f>BD14</f>
        <v>0</v>
      </c>
      <c r="BF14" s="313">
        <v>200</v>
      </c>
      <c r="BG14" s="415"/>
    </row>
    <row r="15" spans="2:59" x14ac:dyDescent="0.25">
      <c r="B15" s="416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14"/>
      <c r="O15" s="414"/>
      <c r="P15" s="414"/>
      <c r="Q15" s="414"/>
      <c r="R15" s="414"/>
      <c r="S15" s="414"/>
      <c r="T15" s="414"/>
      <c r="U15" s="414"/>
      <c r="V15" s="414"/>
      <c r="W15" s="414"/>
      <c r="X15" s="414"/>
      <c r="Y15" s="414"/>
      <c r="Z15" s="414"/>
      <c r="AA15" s="414"/>
      <c r="AB15" s="414"/>
      <c r="AC15" s="414"/>
      <c r="AD15" s="414"/>
      <c r="AE15" s="414"/>
      <c r="AF15" s="414"/>
      <c r="AG15" s="414"/>
      <c r="AH15" s="414"/>
      <c r="AI15" s="414"/>
      <c r="AJ15" s="414"/>
      <c r="AK15" s="414"/>
      <c r="AL15" s="414"/>
      <c r="AM15" s="414"/>
      <c r="AN15" s="414"/>
      <c r="AO15" s="414"/>
      <c r="AP15" s="414"/>
      <c r="AQ15" s="414"/>
      <c r="AR15" s="414"/>
      <c r="AS15" s="414"/>
      <c r="AT15" s="415"/>
      <c r="AV15" s="416"/>
      <c r="AW15" s="728" t="s">
        <v>60</v>
      </c>
      <c r="AX15" s="728"/>
      <c r="AY15" s="728"/>
      <c r="AZ15" s="728"/>
      <c r="BA15" s="309" t="s">
        <v>25</v>
      </c>
      <c r="BB15" s="468">
        <v>0.19</v>
      </c>
      <c r="BC15" s="468">
        <v>0</v>
      </c>
      <c r="BD15" s="468">
        <v>0</v>
      </c>
      <c r="BE15" s="468">
        <f>BD15</f>
        <v>0</v>
      </c>
      <c r="BF15" s="468">
        <v>0.19</v>
      </c>
      <c r="BG15" s="415"/>
    </row>
    <row r="16" spans="2:59" ht="15.75" thickBot="1" x14ac:dyDescent="0.3">
      <c r="B16" s="416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14"/>
      <c r="O16" s="414"/>
      <c r="P16" s="414"/>
      <c r="Q16" s="414"/>
      <c r="R16" s="414"/>
      <c r="S16" s="414"/>
      <c r="T16" s="414"/>
      <c r="U16" s="414"/>
      <c r="V16" s="414"/>
      <c r="W16" s="414"/>
      <c r="X16" s="414"/>
      <c r="Y16" s="414"/>
      <c r="Z16" s="414"/>
      <c r="AA16" s="414"/>
      <c r="AB16" s="414"/>
      <c r="AC16" s="414"/>
      <c r="AD16" s="414"/>
      <c r="AE16" s="414"/>
      <c r="AF16" s="414"/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5"/>
      <c r="AV16" s="416"/>
      <c r="AW16" s="728" t="s">
        <v>100</v>
      </c>
      <c r="AX16" s="728"/>
      <c r="AY16" s="728"/>
      <c r="AZ16" s="728"/>
      <c r="BA16" s="309" t="s">
        <v>96</v>
      </c>
      <c r="BB16" s="313">
        <f>(BB14+BB13)*(1+BB15)</f>
        <v>2891.7</v>
      </c>
      <c r="BC16" s="313">
        <f t="shared" ref="BC16:BE16" si="0">(BC14+BC13)*(1+BC15)</f>
        <v>22.858139534883723</v>
      </c>
      <c r="BD16" s="313">
        <f t="shared" si="0"/>
        <v>200</v>
      </c>
      <c r="BE16" s="313">
        <f t="shared" si="0"/>
        <v>200</v>
      </c>
      <c r="BF16" s="483">
        <f>(BF14+BF13)*(1+BF15)</f>
        <v>1308.9642999999999</v>
      </c>
      <c r="BG16" s="415"/>
    </row>
    <row r="17" spans="2:59" x14ac:dyDescent="0.25">
      <c r="B17" s="416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14"/>
      <c r="O17" s="414"/>
      <c r="P17" s="414"/>
      <c r="Q17" s="414"/>
      <c r="R17" s="414"/>
      <c r="S17" s="414"/>
      <c r="T17" s="414"/>
      <c r="U17" s="414"/>
      <c r="V17" s="414"/>
      <c r="W17" s="414"/>
      <c r="X17" s="414"/>
      <c r="Y17" s="414"/>
      <c r="Z17" s="414"/>
      <c r="AA17" s="184" t="s">
        <v>75</v>
      </c>
      <c r="AB17" s="406">
        <f>N44</f>
        <v>730.06823775895305</v>
      </c>
      <c r="AC17" s="407" t="s">
        <v>76</v>
      </c>
      <c r="AD17" s="414"/>
      <c r="AE17" s="414"/>
      <c r="AF17" s="414"/>
      <c r="AG17" s="414"/>
      <c r="AH17" s="414"/>
      <c r="AI17" s="414"/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5"/>
      <c r="AV17" s="416"/>
      <c r="AW17" s="735" t="s">
        <v>101</v>
      </c>
      <c r="AX17" s="735"/>
      <c r="AY17" s="735"/>
      <c r="AZ17" s="735"/>
      <c r="BA17" s="319" t="s">
        <v>96</v>
      </c>
      <c r="BB17" s="329">
        <f>BB16*COST_FACTOR</f>
        <v>3180.87</v>
      </c>
      <c r="BC17" s="329">
        <f>BC16*COST_FACTOR</f>
        <v>25.143953488372098</v>
      </c>
      <c r="BD17" s="329">
        <f>BD16*COST_FACTOR</f>
        <v>220.00000000000003</v>
      </c>
      <c r="BE17" s="329">
        <f>BE16*COST_FACTOR</f>
        <v>220.00000000000003</v>
      </c>
      <c r="BF17" s="484">
        <f>BF16*COST_FACTOR</f>
        <v>1439.8607299999999</v>
      </c>
      <c r="BG17" s="415"/>
    </row>
    <row r="18" spans="2:59" ht="15.75" thickBot="1" x14ac:dyDescent="0.3">
      <c r="B18" s="416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14"/>
      <c r="O18" s="414"/>
      <c r="P18" s="414"/>
      <c r="Q18" s="414"/>
      <c r="R18" s="414"/>
      <c r="S18" s="414"/>
      <c r="T18" s="414"/>
      <c r="U18" s="414"/>
      <c r="V18" s="414"/>
      <c r="W18" s="414"/>
      <c r="X18" s="414"/>
      <c r="Y18" s="414"/>
      <c r="Z18" s="414"/>
      <c r="AA18" s="181" t="s">
        <v>19</v>
      </c>
      <c r="AB18" s="182">
        <f>X34</f>
        <v>13</v>
      </c>
      <c r="AC18" s="183" t="s">
        <v>3</v>
      </c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  <c r="AQ18" s="414"/>
      <c r="AR18" s="414"/>
      <c r="AS18" s="414"/>
      <c r="AT18" s="415"/>
      <c r="AV18" s="416"/>
      <c r="AW18" s="727"/>
      <c r="AX18" s="727"/>
      <c r="AY18" s="727"/>
      <c r="AZ18" s="727"/>
      <c r="BA18" s="418"/>
      <c r="BB18" s="418"/>
      <c r="BC18" s="418"/>
      <c r="BD18" s="418"/>
      <c r="BE18" s="418"/>
      <c r="BF18" s="418"/>
      <c r="BG18" s="415"/>
    </row>
    <row r="19" spans="2:59" ht="15.75" thickBot="1" x14ac:dyDescent="0.3">
      <c r="B19" s="416"/>
      <c r="C19" s="414"/>
      <c r="D19" s="414"/>
      <c r="E19" s="414"/>
      <c r="F19" s="414"/>
      <c r="G19" s="414"/>
      <c r="H19" s="414"/>
      <c r="I19" s="414"/>
      <c r="J19" s="414"/>
      <c r="K19" s="414"/>
      <c r="L19" s="597"/>
      <c r="M19" s="414"/>
      <c r="N19" s="414"/>
      <c r="O19" s="414"/>
      <c r="P19" s="414"/>
      <c r="Q19" s="414"/>
      <c r="R19" s="414"/>
      <c r="S19" s="414"/>
      <c r="T19" s="414"/>
      <c r="U19" s="414"/>
      <c r="V19" s="414"/>
      <c r="W19" s="414"/>
      <c r="X19" s="414"/>
      <c r="Y19" s="414"/>
      <c r="Z19" s="414"/>
      <c r="AA19" s="409"/>
      <c r="AB19" s="410"/>
      <c r="AC19" s="411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  <c r="AR19" s="414"/>
      <c r="AS19" s="414"/>
      <c r="AT19" s="415"/>
      <c r="AV19" s="416"/>
      <c r="AW19" s="736" t="s">
        <v>102</v>
      </c>
      <c r="AX19" s="737"/>
      <c r="AY19" s="737"/>
      <c r="AZ19" s="737"/>
      <c r="BA19" s="737"/>
      <c r="BB19" s="737"/>
      <c r="BC19" s="737"/>
      <c r="BD19" s="737"/>
      <c r="BE19" s="737"/>
      <c r="BF19" s="738"/>
      <c r="BG19" s="415"/>
    </row>
    <row r="20" spans="2:59" ht="15.75" thickBot="1" x14ac:dyDescent="0.3">
      <c r="B20" s="416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14"/>
      <c r="O20" s="414"/>
      <c r="P20" s="414"/>
      <c r="Q20" s="414"/>
      <c r="R20" s="414"/>
      <c r="S20" s="414"/>
      <c r="T20" s="414"/>
      <c r="U20" s="414"/>
      <c r="V20" s="414"/>
      <c r="W20" s="414"/>
      <c r="X20" s="414"/>
      <c r="Y20" s="414"/>
      <c r="Z20" s="414"/>
      <c r="AA20" s="190" t="s">
        <v>84</v>
      </c>
      <c r="AB20" s="792" t="s">
        <v>98</v>
      </c>
      <c r="AC20" s="793"/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  <c r="AQ20" s="414"/>
      <c r="AR20" s="414"/>
      <c r="AS20" s="414"/>
      <c r="AT20" s="415"/>
      <c r="AV20" s="416"/>
      <c r="AW20" s="727"/>
      <c r="AX20" s="727"/>
      <c r="AY20" s="727"/>
      <c r="AZ20" s="727"/>
      <c r="BA20" s="418"/>
      <c r="BB20" s="418"/>
      <c r="BC20" s="418"/>
      <c r="BD20" s="418"/>
      <c r="BE20" s="418"/>
      <c r="BF20" s="418"/>
      <c r="BG20" s="415"/>
    </row>
    <row r="21" spans="2:59" ht="15.75" thickBot="1" x14ac:dyDescent="0.3">
      <c r="B21" s="416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697" t="s">
        <v>103</v>
      </c>
      <c r="AJ21" s="698"/>
      <c r="AK21" s="698"/>
      <c r="AL21" s="698"/>
      <c r="AM21" s="699"/>
      <c r="AN21" s="414"/>
      <c r="AO21" s="414"/>
      <c r="AP21" s="414"/>
      <c r="AQ21" s="414"/>
      <c r="AR21" s="414"/>
      <c r="AS21" s="414"/>
      <c r="AT21" s="415"/>
      <c r="AV21" s="416"/>
      <c r="AW21" s="727"/>
      <c r="AX21" s="727"/>
      <c r="AY21" s="727"/>
      <c r="AZ21" s="727"/>
      <c r="BA21" s="418"/>
      <c r="BB21" s="481" t="s">
        <v>104</v>
      </c>
      <c r="BC21" s="482" t="s">
        <v>105</v>
      </c>
      <c r="BD21" s="418"/>
      <c r="BE21" s="418"/>
      <c r="BF21" s="418"/>
      <c r="BG21" s="415"/>
    </row>
    <row r="22" spans="2:59" x14ac:dyDescent="0.25">
      <c r="B22" s="416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14"/>
      <c r="O22" s="414"/>
      <c r="P22" s="414"/>
      <c r="Q22" s="414"/>
      <c r="R22" s="414"/>
      <c r="S22" s="414"/>
      <c r="T22" s="414"/>
      <c r="U22" s="414"/>
      <c r="V22" s="414"/>
      <c r="W22" s="414"/>
      <c r="X22" s="414"/>
      <c r="Y22" s="414"/>
      <c r="Z22" s="414"/>
      <c r="AA22" s="414"/>
      <c r="AB22" s="414"/>
      <c r="AC22" s="414"/>
      <c r="AD22" s="414"/>
      <c r="AE22" s="414"/>
      <c r="AF22" s="414"/>
      <c r="AG22" s="414"/>
      <c r="AH22" s="414"/>
      <c r="AI22" s="799" t="s">
        <v>106</v>
      </c>
      <c r="AJ22" s="800"/>
      <c r="AK22" s="801"/>
      <c r="AL22" s="182">
        <v>500</v>
      </c>
      <c r="AM22" s="183" t="s">
        <v>107</v>
      </c>
      <c r="AN22" s="414"/>
      <c r="AO22" s="414"/>
      <c r="AP22" s="414"/>
      <c r="AQ22" s="414"/>
      <c r="AR22" s="414"/>
      <c r="AS22" s="414"/>
      <c r="AT22" s="415"/>
      <c r="AV22" s="416"/>
      <c r="AW22" s="744" t="s">
        <v>108</v>
      </c>
      <c r="AX22" s="745"/>
      <c r="AY22" s="745"/>
      <c r="AZ22" s="746"/>
      <c r="BA22" s="456" t="s">
        <v>25</v>
      </c>
      <c r="BB22" s="453" t="s">
        <v>109</v>
      </c>
      <c r="BC22" s="449" t="s">
        <v>110</v>
      </c>
      <c r="BD22" s="418"/>
      <c r="BE22" s="418"/>
      <c r="BF22" s="418"/>
      <c r="BG22" s="415"/>
    </row>
    <row r="23" spans="2:59" ht="16.5" x14ac:dyDescent="0.25">
      <c r="B23" s="416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14"/>
      <c r="O23" s="414"/>
      <c r="P23" s="414"/>
      <c r="Q23" s="414"/>
      <c r="R23" s="414"/>
      <c r="S23" s="414"/>
      <c r="T23" s="414"/>
      <c r="U23" s="414"/>
      <c r="V23" s="414"/>
      <c r="W23" s="414"/>
      <c r="X23" s="414"/>
      <c r="Y23" s="414"/>
      <c r="Z23" s="414"/>
      <c r="AA23" s="414"/>
      <c r="AB23" s="414"/>
      <c r="AC23" s="414"/>
      <c r="AD23" s="414"/>
      <c r="AE23" s="414"/>
      <c r="AF23" s="414"/>
      <c r="AG23" s="414"/>
      <c r="AH23" s="414"/>
      <c r="AI23" s="769" t="s">
        <v>111</v>
      </c>
      <c r="AJ23" s="770"/>
      <c r="AK23" s="771"/>
      <c r="AL23" s="194">
        <v>15.5</v>
      </c>
      <c r="AM23" s="195" t="s">
        <v>112</v>
      </c>
      <c r="AN23" s="414"/>
      <c r="AO23" s="414"/>
      <c r="AP23" s="414"/>
      <c r="AQ23" s="414"/>
      <c r="AR23" s="414"/>
      <c r="AS23" s="414"/>
      <c r="AT23" s="415"/>
      <c r="AV23" s="416"/>
      <c r="AW23" s="747" t="s">
        <v>113</v>
      </c>
      <c r="AX23" s="748"/>
      <c r="AY23" s="748"/>
      <c r="AZ23" s="749"/>
      <c r="BA23" s="462" t="s">
        <v>38</v>
      </c>
      <c r="BB23" s="476" t="s">
        <v>114</v>
      </c>
      <c r="BC23" s="477"/>
      <c r="BD23" s="418"/>
      <c r="BE23" s="418"/>
      <c r="BF23" s="418"/>
      <c r="BG23" s="415"/>
    </row>
    <row r="24" spans="2:59" ht="15.75" thickBot="1" x14ac:dyDescent="0.3">
      <c r="B24" s="416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14"/>
      <c r="O24" s="414"/>
      <c r="P24" s="414"/>
      <c r="Q24" s="414"/>
      <c r="R24" s="414"/>
      <c r="S24" s="414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764" t="s">
        <v>115</v>
      </c>
      <c r="AJ24" s="765"/>
      <c r="AK24" s="766"/>
      <c r="AL24" s="412">
        <v>36</v>
      </c>
      <c r="AM24" s="191" t="s">
        <v>116</v>
      </c>
      <c r="AN24" s="414"/>
      <c r="AO24" s="414"/>
      <c r="AP24" s="414"/>
      <c r="AQ24" s="414"/>
      <c r="AR24" s="414"/>
      <c r="AS24" s="414"/>
      <c r="AT24" s="415"/>
      <c r="AV24" s="416"/>
      <c r="AW24" s="753" t="s">
        <v>117</v>
      </c>
      <c r="AX24" s="754"/>
      <c r="AY24" s="754"/>
      <c r="AZ24" s="759"/>
      <c r="BA24" s="457" t="s">
        <v>25</v>
      </c>
      <c r="BB24" s="474" t="s">
        <v>118</v>
      </c>
      <c r="BC24" s="475" t="s">
        <v>119</v>
      </c>
      <c r="BD24" s="418"/>
      <c r="BE24" s="418"/>
      <c r="BF24" s="418"/>
      <c r="BG24" s="415"/>
    </row>
    <row r="25" spans="2:59" ht="15.75" thickBot="1" x14ac:dyDescent="0.3">
      <c r="B25" s="416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14"/>
      <c r="O25" s="414"/>
      <c r="P25" s="414"/>
      <c r="Q25" s="414"/>
      <c r="R25" s="414"/>
      <c r="S25" s="414"/>
      <c r="T25" s="414"/>
      <c r="U25" s="414"/>
      <c r="V25" s="414"/>
      <c r="W25" s="414"/>
      <c r="X25" s="414"/>
      <c r="Y25" s="414"/>
      <c r="Z25" s="414"/>
      <c r="AA25" s="414"/>
      <c r="AB25" s="414"/>
      <c r="AC25" s="414"/>
      <c r="AD25" s="414"/>
      <c r="AE25" s="414"/>
      <c r="AF25" s="414"/>
      <c r="AG25" s="414"/>
      <c r="AH25" s="414"/>
      <c r="AI25" s="414"/>
      <c r="AJ25" s="414"/>
      <c r="AK25" s="414"/>
      <c r="AL25" s="414"/>
      <c r="AM25" s="414"/>
      <c r="AN25" s="414"/>
      <c r="AO25" s="414"/>
      <c r="AP25" s="414"/>
      <c r="AQ25" s="414"/>
      <c r="AR25" s="414"/>
      <c r="AS25" s="414"/>
      <c r="AT25" s="415"/>
      <c r="AV25" s="416"/>
      <c r="AW25" s="760" t="s">
        <v>120</v>
      </c>
      <c r="AX25" s="761"/>
      <c r="AY25" s="761"/>
      <c r="AZ25" s="762"/>
      <c r="BA25" s="478" t="s">
        <v>25</v>
      </c>
      <c r="BB25" s="479" t="s">
        <v>121</v>
      </c>
      <c r="BC25" s="480" t="s">
        <v>122</v>
      </c>
      <c r="BD25" s="418"/>
      <c r="BE25" s="418"/>
      <c r="BF25" s="418"/>
      <c r="BG25" s="415"/>
    </row>
    <row r="26" spans="2:59" ht="15.75" thickBot="1" x14ac:dyDescent="0.3">
      <c r="B26" s="416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14"/>
      <c r="O26" s="414"/>
      <c r="P26" s="414"/>
      <c r="Q26" s="414"/>
      <c r="R26" s="414"/>
      <c r="S26" s="414"/>
      <c r="T26" s="414"/>
      <c r="U26" s="414"/>
      <c r="V26" s="414"/>
      <c r="W26" s="414"/>
      <c r="X26" s="414"/>
      <c r="Y26" s="414"/>
      <c r="Z26" s="414"/>
      <c r="AA26" s="414"/>
      <c r="AB26" s="414"/>
      <c r="AC26" s="414"/>
      <c r="AD26" s="414"/>
      <c r="AE26" s="414"/>
      <c r="AF26" s="414"/>
      <c r="AG26" s="414"/>
      <c r="AH26" s="414"/>
      <c r="AI26" s="414"/>
      <c r="AJ26" s="414"/>
      <c r="AK26" s="414"/>
      <c r="AL26" s="414"/>
      <c r="AM26" s="414"/>
      <c r="AN26" s="414"/>
      <c r="AO26" s="414"/>
      <c r="AP26" s="414"/>
      <c r="AQ26" s="414"/>
      <c r="AR26" s="414"/>
      <c r="AS26" s="414"/>
      <c r="AT26" s="415"/>
      <c r="AV26" s="416"/>
      <c r="AW26" s="727"/>
      <c r="AX26" s="727"/>
      <c r="AY26" s="727"/>
      <c r="AZ26" s="727"/>
      <c r="BA26" s="418"/>
      <c r="BB26" s="418"/>
      <c r="BC26" s="418"/>
      <c r="BD26" s="418"/>
      <c r="BE26" s="418"/>
      <c r="BF26" s="418"/>
      <c r="BG26" s="415"/>
    </row>
    <row r="27" spans="2:59" ht="15.75" thickBot="1" x14ac:dyDescent="0.3">
      <c r="B27" s="416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14"/>
      <c r="O27" s="414"/>
      <c r="P27" s="414"/>
      <c r="Q27" s="414"/>
      <c r="R27" s="414"/>
      <c r="S27" s="414"/>
      <c r="T27" s="414"/>
      <c r="U27" s="414"/>
      <c r="V27" s="414"/>
      <c r="W27" s="697" t="s">
        <v>123</v>
      </c>
      <c r="X27" s="698"/>
      <c r="Y27" s="698"/>
      <c r="Z27" s="698"/>
      <c r="AA27" s="699"/>
      <c r="AB27" s="414"/>
      <c r="AC27" s="414"/>
      <c r="AD27" s="414"/>
      <c r="AE27" s="414"/>
      <c r="AF27" s="414"/>
      <c r="AG27" s="414"/>
      <c r="AH27" s="414"/>
      <c r="AI27" s="414"/>
      <c r="AJ27" s="414"/>
      <c r="AK27" s="414"/>
      <c r="AL27" s="414"/>
      <c r="AM27" s="414"/>
      <c r="AN27" s="414"/>
      <c r="AO27" s="414"/>
      <c r="AP27" s="414"/>
      <c r="AQ27" s="414"/>
      <c r="AR27" s="414"/>
      <c r="AS27" s="414"/>
      <c r="AT27" s="415"/>
      <c r="AV27" s="416"/>
      <c r="AW27" s="728" t="s">
        <v>95</v>
      </c>
      <c r="AX27" s="728"/>
      <c r="AY27" s="728"/>
      <c r="AZ27" s="728"/>
      <c r="BA27" s="309" t="s">
        <v>96</v>
      </c>
      <c r="BB27" s="313">
        <v>1350</v>
      </c>
      <c r="BC27" s="313">
        <v>2000</v>
      </c>
      <c r="BD27" s="418"/>
      <c r="BE27" s="418"/>
      <c r="BF27" s="418"/>
      <c r="BG27" s="415"/>
    </row>
    <row r="28" spans="2:59" x14ac:dyDescent="0.25">
      <c r="B28" s="416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14"/>
      <c r="O28" s="414"/>
      <c r="P28" s="414"/>
      <c r="Q28" s="414"/>
      <c r="R28" s="414"/>
      <c r="S28" s="414"/>
      <c r="T28" s="414"/>
      <c r="U28" s="414"/>
      <c r="V28" s="414"/>
      <c r="W28" s="799" t="s">
        <v>124</v>
      </c>
      <c r="X28" s="800"/>
      <c r="Y28" s="801"/>
      <c r="Z28" s="182" t="s">
        <v>125</v>
      </c>
      <c r="AA28" s="183" t="s">
        <v>46</v>
      </c>
      <c r="AB28" s="414"/>
      <c r="AC28" s="184" t="s">
        <v>75</v>
      </c>
      <c r="AD28" s="406">
        <f>RAW_TOTAL_DRY</f>
        <v>258.56583420629585</v>
      </c>
      <c r="AE28" s="407" t="s">
        <v>76</v>
      </c>
      <c r="AF28" s="414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AQ28" s="414"/>
      <c r="AR28" s="414"/>
      <c r="AS28" s="414"/>
      <c r="AT28" s="415"/>
      <c r="AV28" s="416"/>
      <c r="AW28" s="728" t="s">
        <v>99</v>
      </c>
      <c r="AX28" s="728"/>
      <c r="AY28" s="728"/>
      <c r="AZ28" s="728"/>
      <c r="BA28" s="309" t="s">
        <v>96</v>
      </c>
      <c r="BB28" s="313">
        <v>570</v>
      </c>
      <c r="BC28" s="313">
        <v>200</v>
      </c>
      <c r="BD28" s="418"/>
      <c r="BE28" s="418"/>
      <c r="BF28" s="418"/>
      <c r="BG28" s="415"/>
    </row>
    <row r="29" spans="2:59" ht="15.75" thickBot="1" x14ac:dyDescent="0.3">
      <c r="B29" s="416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14"/>
      <c r="O29" s="414"/>
      <c r="P29" s="414"/>
      <c r="Q29" s="414"/>
      <c r="R29" s="414"/>
      <c r="S29" s="414"/>
      <c r="T29" s="414"/>
      <c r="U29" s="414"/>
      <c r="V29" s="414"/>
      <c r="W29" s="769" t="s">
        <v>126</v>
      </c>
      <c r="X29" s="770"/>
      <c r="Y29" s="771"/>
      <c r="Z29" s="194">
        <v>20</v>
      </c>
      <c r="AA29" s="195" t="s">
        <v>127</v>
      </c>
      <c r="AB29" s="414"/>
      <c r="AC29" s="181" t="s">
        <v>19</v>
      </c>
      <c r="AD29" s="182">
        <f>AB18</f>
        <v>13</v>
      </c>
      <c r="AE29" s="183" t="s">
        <v>3</v>
      </c>
      <c r="AF29" s="414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  <c r="AQ29" s="414"/>
      <c r="AR29" s="414"/>
      <c r="AS29" s="414"/>
      <c r="AT29" s="415"/>
      <c r="AV29" s="416"/>
      <c r="AW29" s="728" t="s">
        <v>60</v>
      </c>
      <c r="AX29" s="728"/>
      <c r="AY29" s="728"/>
      <c r="AZ29" s="728"/>
      <c r="BA29" s="309" t="s">
        <v>25</v>
      </c>
      <c r="BB29" s="468">
        <v>0.19</v>
      </c>
      <c r="BC29" s="468">
        <v>0.19</v>
      </c>
      <c r="BD29" s="418"/>
      <c r="BE29" s="418"/>
      <c r="BF29" s="418"/>
      <c r="BG29" s="415"/>
    </row>
    <row r="30" spans="2:59" ht="15.75" thickBot="1" x14ac:dyDescent="0.3">
      <c r="B30" s="416"/>
      <c r="C30" s="414"/>
      <c r="D30" s="414"/>
      <c r="E30" s="414"/>
      <c r="F30" s="414"/>
      <c r="G30" s="414"/>
      <c r="H30" s="414"/>
      <c r="I30" s="414"/>
      <c r="J30" s="414"/>
      <c r="K30" s="414"/>
      <c r="L30" s="184" t="s">
        <v>75</v>
      </c>
      <c r="M30" s="406">
        <f>E4</f>
        <v>114.11894428152492</v>
      </c>
      <c r="N30" s="407" t="s">
        <v>76</v>
      </c>
      <c r="O30" s="414"/>
      <c r="P30" s="414"/>
      <c r="Q30" s="414"/>
      <c r="R30" s="414"/>
      <c r="S30" s="414"/>
      <c r="T30" s="414"/>
      <c r="U30" s="414"/>
      <c r="V30" s="414"/>
      <c r="W30" s="764" t="s">
        <v>115</v>
      </c>
      <c r="X30" s="765"/>
      <c r="Y30" s="766"/>
      <c r="Z30" s="412">
        <v>4</v>
      </c>
      <c r="AA30" s="191" t="s">
        <v>116</v>
      </c>
      <c r="AB30" s="414"/>
      <c r="AC30" s="409"/>
      <c r="AD30" s="410"/>
      <c r="AE30" s="411"/>
      <c r="AF30" s="414"/>
      <c r="AG30" s="414"/>
      <c r="AH30" s="414"/>
      <c r="AI30" s="414"/>
      <c r="AJ30" s="414"/>
      <c r="AK30" s="414"/>
      <c r="AL30" s="414"/>
      <c r="AM30" s="414"/>
      <c r="AN30" s="414"/>
      <c r="AO30" s="414"/>
      <c r="AP30" s="414"/>
      <c r="AQ30" s="414"/>
      <c r="AR30" s="414"/>
      <c r="AS30" s="414"/>
      <c r="AT30" s="415"/>
      <c r="AV30" s="416"/>
      <c r="AW30" s="728" t="s">
        <v>100</v>
      </c>
      <c r="AX30" s="728"/>
      <c r="AY30" s="728"/>
      <c r="AZ30" s="728"/>
      <c r="BA30" s="309" t="s">
        <v>96</v>
      </c>
      <c r="BB30" s="313">
        <f>(BB28+BB27)*(1+BB29)</f>
        <v>2284.7999999999997</v>
      </c>
      <c r="BC30" s="313">
        <f t="shared" ref="BC30" si="1">(BC28+BC27)*(1+BC29)</f>
        <v>2618</v>
      </c>
      <c r="BD30" s="418"/>
      <c r="BE30" s="418"/>
      <c r="BF30" s="418"/>
      <c r="BG30" s="415"/>
    </row>
    <row r="31" spans="2:59" ht="15.75" thickBot="1" x14ac:dyDescent="0.3">
      <c r="B31" s="416"/>
      <c r="C31" s="414"/>
      <c r="D31" s="414"/>
      <c r="E31" s="414"/>
      <c r="F31" s="414"/>
      <c r="G31" s="414"/>
      <c r="H31" s="414"/>
      <c r="I31" s="414"/>
      <c r="J31" s="414"/>
      <c r="K31" s="414"/>
      <c r="L31" s="181" t="s">
        <v>19</v>
      </c>
      <c r="M31" s="182">
        <f>E5</f>
        <v>13</v>
      </c>
      <c r="N31" s="183" t="s">
        <v>3</v>
      </c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190" t="s">
        <v>84</v>
      </c>
      <c r="AD31" s="792" t="s">
        <v>98</v>
      </c>
      <c r="AE31" s="793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  <c r="AQ31" s="414"/>
      <c r="AR31" s="414"/>
      <c r="AS31" s="414"/>
      <c r="AT31" s="415"/>
      <c r="AV31" s="416"/>
      <c r="AW31" s="735" t="s">
        <v>101</v>
      </c>
      <c r="AX31" s="735"/>
      <c r="AY31" s="735"/>
      <c r="AZ31" s="735"/>
      <c r="BA31" s="319" t="s">
        <v>96</v>
      </c>
      <c r="BB31" s="329">
        <f>BB30*COST_FACTOR</f>
        <v>2513.2799999999997</v>
      </c>
      <c r="BC31" s="329">
        <f>BC30*COST_FACTOR</f>
        <v>2879.8</v>
      </c>
      <c r="BD31" s="418"/>
      <c r="BE31" s="418"/>
      <c r="BF31" s="418"/>
      <c r="BG31" s="415"/>
    </row>
    <row r="32" spans="2:59" ht="15.75" thickBot="1" x14ac:dyDescent="0.3">
      <c r="B32" s="416"/>
      <c r="C32" s="414"/>
      <c r="D32" s="414"/>
      <c r="E32" s="414"/>
      <c r="F32" s="414"/>
      <c r="G32" s="414"/>
      <c r="H32" s="414"/>
      <c r="I32" s="414"/>
      <c r="J32" s="414"/>
      <c r="K32" s="414"/>
      <c r="L32" s="188" t="s">
        <v>78</v>
      </c>
      <c r="M32" s="408">
        <f>E6</f>
        <v>-196.82</v>
      </c>
      <c r="N32" s="195" t="s">
        <v>6</v>
      </c>
      <c r="O32" s="414"/>
      <c r="P32" s="414"/>
      <c r="Q32" s="414"/>
      <c r="R32" s="414"/>
      <c r="S32" s="414"/>
      <c r="T32" s="414"/>
      <c r="U32" s="414"/>
      <c r="V32" s="414"/>
      <c r="W32" s="414"/>
      <c r="X32" s="414"/>
      <c r="Y32" s="414"/>
      <c r="Z32" s="414"/>
      <c r="AA32" s="414"/>
      <c r="AB32" s="414"/>
      <c r="AC32" s="414"/>
      <c r="AD32" s="414"/>
      <c r="AE32" s="414"/>
      <c r="AF32" s="414"/>
      <c r="AG32" s="414"/>
      <c r="AH32" s="414"/>
      <c r="AI32" s="184" t="s">
        <v>75</v>
      </c>
      <c r="AJ32" s="406">
        <f>AD28-AH43</f>
        <v>180.99608394440708</v>
      </c>
      <c r="AK32" s="407" t="s">
        <v>76</v>
      </c>
      <c r="AL32" s="414"/>
      <c r="AM32" s="414"/>
      <c r="AN32" s="414"/>
      <c r="AO32" s="414"/>
      <c r="AP32" s="414"/>
      <c r="AQ32" s="414"/>
      <c r="AR32" s="414"/>
      <c r="AS32" s="414"/>
      <c r="AT32" s="415"/>
      <c r="AV32" s="416"/>
      <c r="AW32" s="727"/>
      <c r="AX32" s="727"/>
      <c r="AY32" s="727"/>
      <c r="AZ32" s="727"/>
      <c r="BA32" s="418"/>
      <c r="BB32" s="418"/>
      <c r="BC32" s="418"/>
      <c r="BD32" s="418"/>
      <c r="BE32" s="418"/>
      <c r="BF32" s="418"/>
      <c r="BG32" s="415"/>
    </row>
    <row r="33" spans="2:59" ht="15.75" thickBot="1" x14ac:dyDescent="0.3">
      <c r="B33" s="416"/>
      <c r="C33" s="414"/>
      <c r="D33" s="184" t="s">
        <v>75</v>
      </c>
      <c r="E33" s="406">
        <f>RAW_TOTAL</f>
        <v>730.06823775895305</v>
      </c>
      <c r="F33" s="407" t="s">
        <v>76</v>
      </c>
      <c r="G33" s="414"/>
      <c r="H33" s="414"/>
      <c r="I33" s="414"/>
      <c r="J33" s="414"/>
      <c r="K33" s="414"/>
      <c r="L33" s="190" t="s">
        <v>84</v>
      </c>
      <c r="M33" s="804" t="s">
        <v>85</v>
      </c>
      <c r="N33" s="805"/>
      <c r="O33" s="414"/>
      <c r="P33" s="414"/>
      <c r="Q33" s="414"/>
      <c r="R33" s="414"/>
      <c r="S33" s="414"/>
      <c r="T33" s="414"/>
      <c r="U33" s="414"/>
      <c r="V33" s="414"/>
      <c r="W33" s="184" t="s">
        <v>75</v>
      </c>
      <c r="X33" s="424">
        <f>M30+N44</f>
        <v>844.18718204047798</v>
      </c>
      <c r="Y33" s="407" t="s">
        <v>76</v>
      </c>
      <c r="Z33" s="414"/>
      <c r="AA33" s="414"/>
      <c r="AB33" s="414"/>
      <c r="AC33" s="414"/>
      <c r="AD33" s="414"/>
      <c r="AE33" s="414"/>
      <c r="AF33" s="414"/>
      <c r="AG33" s="414"/>
      <c r="AH33" s="414"/>
      <c r="AI33" s="181" t="s">
        <v>19</v>
      </c>
      <c r="AJ33" s="182">
        <f>AH44</f>
        <v>13</v>
      </c>
      <c r="AK33" s="183" t="s">
        <v>3</v>
      </c>
      <c r="AL33" s="414"/>
      <c r="AM33" s="414"/>
      <c r="AN33" s="414"/>
      <c r="AO33" s="414"/>
      <c r="AP33" s="414"/>
      <c r="AQ33" s="414"/>
      <c r="AR33" s="414"/>
      <c r="AS33" s="414"/>
      <c r="AT33" s="415"/>
      <c r="AV33" s="416"/>
      <c r="AW33" s="736" t="s">
        <v>128</v>
      </c>
      <c r="AX33" s="737"/>
      <c r="AY33" s="737"/>
      <c r="AZ33" s="737"/>
      <c r="BA33" s="737"/>
      <c r="BB33" s="737"/>
      <c r="BC33" s="737"/>
      <c r="BD33" s="737"/>
      <c r="BE33" s="737"/>
      <c r="BF33" s="738"/>
      <c r="BG33" s="415"/>
    </row>
    <row r="34" spans="2:59" ht="15.75" thickBot="1" x14ac:dyDescent="0.3">
      <c r="B34" s="416"/>
      <c r="C34" s="414"/>
      <c r="D34" s="181" t="s">
        <v>19</v>
      </c>
      <c r="E34" s="182">
        <f>PRESSURE_ATM</f>
        <v>13</v>
      </c>
      <c r="F34" s="183" t="s">
        <v>3</v>
      </c>
      <c r="G34" s="414"/>
      <c r="H34" s="414"/>
      <c r="I34" s="414"/>
      <c r="J34" s="414"/>
      <c r="K34" s="414"/>
      <c r="L34" s="414"/>
      <c r="M34" s="414"/>
      <c r="N34" s="414"/>
      <c r="O34" s="414"/>
      <c r="P34" s="414"/>
      <c r="Q34" s="414"/>
      <c r="R34" s="414"/>
      <c r="S34" s="414"/>
      <c r="T34" s="414"/>
      <c r="U34" s="414"/>
      <c r="V34" s="414"/>
      <c r="W34" s="181" t="s">
        <v>19</v>
      </c>
      <c r="X34" s="182">
        <f>M31</f>
        <v>13</v>
      </c>
      <c r="Y34" s="183" t="s">
        <v>3</v>
      </c>
      <c r="Z34" s="414"/>
      <c r="AA34" s="414"/>
      <c r="AB34" s="414"/>
      <c r="AC34" s="414"/>
      <c r="AD34" s="414"/>
      <c r="AE34" s="414"/>
      <c r="AF34" s="414"/>
      <c r="AG34" s="414"/>
      <c r="AH34" s="414"/>
      <c r="AI34" s="409"/>
      <c r="AJ34" s="410"/>
      <c r="AK34" s="411"/>
      <c r="AL34" s="414"/>
      <c r="AM34" s="414"/>
      <c r="AN34" s="414"/>
      <c r="AO34" s="414"/>
      <c r="AP34" s="414"/>
      <c r="AQ34" s="414"/>
      <c r="AR34" s="414"/>
      <c r="AS34" s="414"/>
      <c r="AT34" s="415"/>
      <c r="AV34" s="416"/>
      <c r="AW34" s="727"/>
      <c r="AX34" s="727"/>
      <c r="AY34" s="727"/>
      <c r="AZ34" s="727"/>
      <c r="BA34" s="418"/>
      <c r="BB34" s="414"/>
      <c r="BC34" s="414"/>
      <c r="BD34" s="414"/>
      <c r="BE34" s="414"/>
      <c r="BF34" s="414"/>
      <c r="BG34" s="415"/>
    </row>
    <row r="35" spans="2:59" ht="15.75" thickBot="1" x14ac:dyDescent="0.3">
      <c r="B35" s="416"/>
      <c r="C35" s="414"/>
      <c r="D35" s="188" t="s">
        <v>78</v>
      </c>
      <c r="E35" s="408">
        <f>AMBIENT_TEMP</f>
        <v>25</v>
      </c>
      <c r="F35" s="195" t="s">
        <v>6</v>
      </c>
      <c r="G35" s="414"/>
      <c r="H35" s="414"/>
      <c r="I35" s="414"/>
      <c r="J35" s="414"/>
      <c r="K35" s="414"/>
      <c r="L35" s="414"/>
      <c r="M35" s="414"/>
      <c r="N35" s="414"/>
      <c r="O35" s="414"/>
      <c r="P35" s="414"/>
      <c r="Q35" s="414"/>
      <c r="R35" s="414"/>
      <c r="S35" s="414"/>
      <c r="T35" s="414"/>
      <c r="U35" s="414"/>
      <c r="V35" s="414"/>
      <c r="W35" s="409"/>
      <c r="X35" s="410"/>
      <c r="Y35" s="411"/>
      <c r="Z35" s="414"/>
      <c r="AA35" s="414"/>
      <c r="AB35" s="414"/>
      <c r="AC35" s="414"/>
      <c r="AD35" s="414"/>
      <c r="AE35" s="414"/>
      <c r="AF35" s="414"/>
      <c r="AG35" s="414"/>
      <c r="AH35" s="414"/>
      <c r="AI35" s="190" t="s">
        <v>84</v>
      </c>
      <c r="AJ35" s="792" t="s">
        <v>98</v>
      </c>
      <c r="AK35" s="793"/>
      <c r="AL35" s="414"/>
      <c r="AM35" s="414"/>
      <c r="AN35" s="414"/>
      <c r="AO35" s="414"/>
      <c r="AP35" s="414"/>
      <c r="AQ35" s="414"/>
      <c r="AR35" s="414"/>
      <c r="AS35" s="414"/>
      <c r="AT35" s="415"/>
      <c r="AV35" s="416"/>
      <c r="AW35" s="727"/>
      <c r="AX35" s="727"/>
      <c r="AY35" s="727"/>
      <c r="AZ35" s="727"/>
      <c r="BA35" s="418"/>
      <c r="BB35" s="739" t="s">
        <v>129</v>
      </c>
      <c r="BC35" s="740"/>
      <c r="BD35" s="741" t="s">
        <v>130</v>
      </c>
      <c r="BE35" s="742"/>
      <c r="BF35" s="414"/>
      <c r="BG35" s="415"/>
    </row>
    <row r="36" spans="2:59" ht="15.75" customHeight="1" thickBot="1" x14ac:dyDescent="0.3">
      <c r="B36" s="416"/>
      <c r="C36" s="414"/>
      <c r="D36" s="190" t="s">
        <v>84</v>
      </c>
      <c r="E36" s="792" t="s">
        <v>98</v>
      </c>
      <c r="F36" s="793"/>
      <c r="G36" s="414"/>
      <c r="H36" s="414"/>
      <c r="I36" s="414"/>
      <c r="J36" s="414"/>
      <c r="K36" s="414"/>
      <c r="L36" s="414"/>
      <c r="M36" s="414"/>
      <c r="N36" s="414"/>
      <c r="O36" s="414"/>
      <c r="P36" s="414"/>
      <c r="Q36" s="414"/>
      <c r="R36" s="414"/>
      <c r="S36" s="414"/>
      <c r="T36" s="414"/>
      <c r="U36" s="414"/>
      <c r="V36" s="414"/>
      <c r="W36" s="190" t="s">
        <v>84</v>
      </c>
      <c r="X36" s="808" t="s">
        <v>131</v>
      </c>
      <c r="Y36" s="809"/>
      <c r="Z36" s="414"/>
      <c r="AA36" s="414"/>
      <c r="AB36" s="414"/>
      <c r="AC36" s="414"/>
      <c r="AD36" s="414"/>
      <c r="AE36" s="414"/>
      <c r="AF36" s="414"/>
      <c r="AG36" s="414"/>
      <c r="AH36" s="414"/>
      <c r="AI36" s="414"/>
      <c r="AJ36" s="414"/>
      <c r="AK36" s="414"/>
      <c r="AL36" s="414"/>
      <c r="AM36" s="414"/>
      <c r="AN36" s="414"/>
      <c r="AO36" s="414"/>
      <c r="AP36" s="414"/>
      <c r="AQ36" s="414"/>
      <c r="AR36" s="414"/>
      <c r="AS36" s="414"/>
      <c r="AT36" s="415"/>
      <c r="AV36" s="416"/>
      <c r="AW36" s="729" t="s">
        <v>132</v>
      </c>
      <c r="AX36" s="730"/>
      <c r="AY36" s="730"/>
      <c r="AZ36" s="730"/>
      <c r="BA36" s="730"/>
      <c r="BB36" s="715" t="s">
        <v>133</v>
      </c>
      <c r="BC36" s="716"/>
      <c r="BD36" s="721" t="s">
        <v>134</v>
      </c>
      <c r="BE36" s="722"/>
      <c r="BF36" s="414"/>
      <c r="BG36" s="415"/>
    </row>
    <row r="37" spans="2:59" x14ac:dyDescent="0.25">
      <c r="B37" s="416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14"/>
      <c r="O37" s="414"/>
      <c r="P37" s="414"/>
      <c r="Q37" s="414"/>
      <c r="R37" s="414"/>
      <c r="S37" s="414"/>
      <c r="T37" s="414"/>
      <c r="U37" s="414"/>
      <c r="V37" s="414"/>
      <c r="W37" s="414"/>
      <c r="X37" s="414"/>
      <c r="Y37" s="414"/>
      <c r="Z37" s="414"/>
      <c r="AA37" s="414"/>
      <c r="AB37" s="414"/>
      <c r="AC37" s="414"/>
      <c r="AD37" s="414"/>
      <c r="AE37" s="414"/>
      <c r="AF37" s="414"/>
      <c r="AG37" s="414"/>
      <c r="AH37" s="414"/>
      <c r="AI37" s="414"/>
      <c r="AJ37" s="414"/>
      <c r="AK37" s="414"/>
      <c r="AL37" s="414"/>
      <c r="AM37" s="414"/>
      <c r="AN37" s="414"/>
      <c r="AO37" s="414"/>
      <c r="AP37" s="414"/>
      <c r="AQ37" s="414"/>
      <c r="AR37" s="414"/>
      <c r="AS37" s="414"/>
      <c r="AT37" s="415"/>
      <c r="AV37" s="416"/>
      <c r="AW37" s="731"/>
      <c r="AX37" s="732"/>
      <c r="AY37" s="732"/>
      <c r="AZ37" s="732"/>
      <c r="BA37" s="732"/>
      <c r="BB37" s="717"/>
      <c r="BC37" s="718"/>
      <c r="BD37" s="723"/>
      <c r="BE37" s="724"/>
      <c r="BF37" s="414"/>
      <c r="BG37" s="415"/>
    </row>
    <row r="38" spans="2:59" x14ac:dyDescent="0.25">
      <c r="B38" s="416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14"/>
      <c r="O38" s="414"/>
      <c r="P38" s="414"/>
      <c r="Q38" s="414"/>
      <c r="R38" s="414"/>
      <c r="S38" s="414"/>
      <c r="T38" s="414"/>
      <c r="U38" s="414"/>
      <c r="V38" s="414"/>
      <c r="W38" s="414"/>
      <c r="X38" s="414"/>
      <c r="Y38" s="414"/>
      <c r="Z38" s="414"/>
      <c r="AA38" s="414"/>
      <c r="AB38" s="414"/>
      <c r="AC38" s="414"/>
      <c r="AD38" s="414"/>
      <c r="AE38" s="414"/>
      <c r="AF38" s="414"/>
      <c r="AG38" s="414"/>
      <c r="AH38" s="414"/>
      <c r="AI38" s="414"/>
      <c r="AJ38" s="414"/>
      <c r="AK38" s="414"/>
      <c r="AL38" s="414"/>
      <c r="AM38" s="414"/>
      <c r="AN38" s="414"/>
      <c r="AO38" s="414"/>
      <c r="AP38" s="414"/>
      <c r="AQ38" s="414"/>
      <c r="AR38" s="414"/>
      <c r="AS38" s="414"/>
      <c r="AT38" s="415"/>
      <c r="AV38" s="416"/>
      <c r="AW38" s="731"/>
      <c r="AX38" s="732"/>
      <c r="AY38" s="732"/>
      <c r="AZ38" s="732"/>
      <c r="BA38" s="732"/>
      <c r="BB38" s="717"/>
      <c r="BC38" s="718"/>
      <c r="BD38" s="723"/>
      <c r="BE38" s="724"/>
      <c r="BF38" s="414"/>
      <c r="BG38" s="415"/>
    </row>
    <row r="39" spans="2:59" x14ac:dyDescent="0.25">
      <c r="B39" s="416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14"/>
      <c r="O39" s="414"/>
      <c r="P39" s="414"/>
      <c r="Q39" s="414"/>
      <c r="R39" s="414"/>
      <c r="S39" s="414"/>
      <c r="T39" s="414"/>
      <c r="U39" s="414"/>
      <c r="V39" s="414"/>
      <c r="W39" s="414"/>
      <c r="X39" s="414"/>
      <c r="Y39" s="414"/>
      <c r="Z39" s="414"/>
      <c r="AA39" s="414"/>
      <c r="AB39" s="414"/>
      <c r="AC39" s="414"/>
      <c r="AD39" s="414"/>
      <c r="AE39" s="414"/>
      <c r="AF39" s="414"/>
      <c r="AG39" s="414"/>
      <c r="AH39" s="414"/>
      <c r="AI39" s="414"/>
      <c r="AJ39" s="414"/>
      <c r="AK39" s="414"/>
      <c r="AL39" s="414"/>
      <c r="AM39" s="414"/>
      <c r="AN39" s="414"/>
      <c r="AO39" s="414"/>
      <c r="AP39" s="414"/>
      <c r="AQ39" s="414"/>
      <c r="AR39" s="414"/>
      <c r="AS39" s="414"/>
      <c r="AT39" s="415"/>
      <c r="AV39" s="416"/>
      <c r="AW39" s="731"/>
      <c r="AX39" s="732"/>
      <c r="AY39" s="732"/>
      <c r="AZ39" s="732"/>
      <c r="BA39" s="732"/>
      <c r="BB39" s="717"/>
      <c r="BC39" s="718"/>
      <c r="BD39" s="723"/>
      <c r="BE39" s="724"/>
      <c r="BF39" s="414"/>
      <c r="BG39" s="415"/>
    </row>
    <row r="40" spans="2:59" x14ac:dyDescent="0.25">
      <c r="B40" s="416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14"/>
      <c r="O40" s="414"/>
      <c r="P40" s="414"/>
      <c r="Q40" s="414"/>
      <c r="R40" s="414"/>
      <c r="S40" s="414"/>
      <c r="T40" s="414"/>
      <c r="U40" s="414"/>
      <c r="V40" s="414"/>
      <c r="W40" s="414"/>
      <c r="X40" s="414"/>
      <c r="Y40" s="414"/>
      <c r="Z40" s="414"/>
      <c r="AA40" s="414"/>
      <c r="AB40" s="414"/>
      <c r="AC40" s="414"/>
      <c r="AD40" s="414"/>
      <c r="AE40" s="414"/>
      <c r="AF40" s="414"/>
      <c r="AG40" s="414"/>
      <c r="AH40" s="414"/>
      <c r="AI40" s="414"/>
      <c r="AJ40" s="414"/>
      <c r="AK40" s="414"/>
      <c r="AL40" s="414"/>
      <c r="AM40" s="414"/>
      <c r="AN40" s="414"/>
      <c r="AO40" s="414"/>
      <c r="AP40" s="414"/>
      <c r="AQ40" s="414"/>
      <c r="AR40" s="414"/>
      <c r="AS40" s="414"/>
      <c r="AT40" s="415"/>
      <c r="AV40" s="416"/>
      <c r="AW40" s="731"/>
      <c r="AX40" s="732"/>
      <c r="AY40" s="732"/>
      <c r="AZ40" s="732"/>
      <c r="BA40" s="732"/>
      <c r="BB40" s="717"/>
      <c r="BC40" s="718"/>
      <c r="BD40" s="723"/>
      <c r="BE40" s="724"/>
      <c r="BF40" s="414"/>
      <c r="BG40" s="415"/>
    </row>
    <row r="41" spans="2:59" x14ac:dyDescent="0.25">
      <c r="B41" s="416"/>
      <c r="C41" s="414"/>
      <c r="D41" s="414"/>
      <c r="E41" s="414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4"/>
      <c r="R41" s="414"/>
      <c r="S41" s="414"/>
      <c r="T41" s="414"/>
      <c r="U41" s="414"/>
      <c r="V41" s="414"/>
      <c r="W41" s="414"/>
      <c r="X41" s="414"/>
      <c r="Y41" s="414"/>
      <c r="Z41" s="414"/>
      <c r="AA41" s="414"/>
      <c r="AB41" s="414"/>
      <c r="AC41" s="414"/>
      <c r="AD41" s="414"/>
      <c r="AE41" s="414"/>
      <c r="AF41" s="414"/>
      <c r="AG41" s="414"/>
      <c r="AH41" s="414"/>
      <c r="AI41" s="414"/>
      <c r="AJ41" s="414"/>
      <c r="AK41" s="414"/>
      <c r="AL41" s="414"/>
      <c r="AM41" s="414"/>
      <c r="AN41" s="414"/>
      <c r="AO41" s="414"/>
      <c r="AP41" s="414"/>
      <c r="AQ41" s="414"/>
      <c r="AR41" s="414"/>
      <c r="AS41" s="414"/>
      <c r="AT41" s="415"/>
      <c r="AV41" s="416"/>
      <c r="AW41" s="731"/>
      <c r="AX41" s="732"/>
      <c r="AY41" s="732"/>
      <c r="AZ41" s="732"/>
      <c r="BA41" s="732"/>
      <c r="BB41" s="717"/>
      <c r="BC41" s="718"/>
      <c r="BD41" s="723"/>
      <c r="BE41" s="724"/>
      <c r="BF41" s="414"/>
      <c r="BG41" s="415"/>
    </row>
    <row r="42" spans="2:59" ht="15.75" thickBot="1" x14ac:dyDescent="0.3">
      <c r="B42" s="416"/>
      <c r="C42" s="414"/>
      <c r="D42" s="414"/>
      <c r="E42" s="414"/>
      <c r="F42" s="414"/>
      <c r="G42" s="414"/>
      <c r="H42" s="414"/>
      <c r="I42" s="414"/>
      <c r="J42" s="414"/>
      <c r="K42" s="414"/>
      <c r="L42" s="414"/>
      <c r="M42" s="414"/>
      <c r="N42" s="414"/>
      <c r="O42" s="414"/>
      <c r="P42" s="414"/>
      <c r="Q42" s="414"/>
      <c r="R42" s="414"/>
      <c r="S42" s="414"/>
      <c r="T42" s="414"/>
      <c r="U42" s="414"/>
      <c r="V42" s="414"/>
      <c r="W42" s="414"/>
      <c r="X42" s="414"/>
      <c r="Y42" s="414"/>
      <c r="Z42" s="414"/>
      <c r="AA42" s="414"/>
      <c r="AB42" s="414"/>
      <c r="AC42" s="414"/>
      <c r="AD42" s="414"/>
      <c r="AE42" s="414"/>
      <c r="AF42" s="414"/>
      <c r="AG42" s="414"/>
      <c r="AH42" s="414"/>
      <c r="AI42" s="414"/>
      <c r="AJ42" s="414"/>
      <c r="AK42" s="414"/>
      <c r="AL42" s="414"/>
      <c r="AM42" s="414"/>
      <c r="AN42" s="414"/>
      <c r="AO42" s="414"/>
      <c r="AP42" s="414"/>
      <c r="AQ42" s="414"/>
      <c r="AR42" s="414"/>
      <c r="AS42" s="414"/>
      <c r="AT42" s="415"/>
      <c r="AV42" s="416"/>
      <c r="AW42" s="733"/>
      <c r="AX42" s="734"/>
      <c r="AY42" s="734"/>
      <c r="AZ42" s="734"/>
      <c r="BA42" s="734"/>
      <c r="BB42" s="719"/>
      <c r="BC42" s="720"/>
      <c r="BD42" s="725"/>
      <c r="BE42" s="726"/>
      <c r="BF42" s="414"/>
      <c r="BG42" s="415"/>
    </row>
    <row r="43" spans="2:59" ht="15.75" thickBot="1" x14ac:dyDescent="0.3">
      <c r="B43" s="416"/>
      <c r="C43" s="414"/>
      <c r="D43" s="414"/>
      <c r="E43" s="414"/>
      <c r="F43" s="414"/>
      <c r="G43" s="414"/>
      <c r="H43" s="414"/>
      <c r="I43" s="414"/>
      <c r="J43" s="414"/>
      <c r="K43" s="414"/>
      <c r="L43" s="414"/>
      <c r="M43" s="414"/>
      <c r="N43" s="414"/>
      <c r="O43" s="414"/>
      <c r="P43" s="414"/>
      <c r="Q43" s="414"/>
      <c r="R43" s="414"/>
      <c r="S43" s="414"/>
      <c r="T43" s="414"/>
      <c r="U43" s="414"/>
      <c r="V43" s="414"/>
      <c r="W43" s="414"/>
      <c r="X43" s="414"/>
      <c r="Y43" s="414"/>
      <c r="Z43" s="414"/>
      <c r="AA43" s="414"/>
      <c r="AB43" s="414"/>
      <c r="AC43" s="414"/>
      <c r="AD43" s="414"/>
      <c r="AE43" s="414"/>
      <c r="AF43" s="414"/>
      <c r="AG43" s="184" t="s">
        <v>75</v>
      </c>
      <c r="AH43" s="413">
        <f>AD28*DF_SIFT</f>
        <v>77.569750261888757</v>
      </c>
      <c r="AI43" s="407" t="s">
        <v>76</v>
      </c>
      <c r="AJ43" s="414"/>
      <c r="AK43" s="414"/>
      <c r="AL43" s="414"/>
      <c r="AM43" s="414"/>
      <c r="AN43" s="414"/>
      <c r="AO43" s="414"/>
      <c r="AP43" s="414"/>
      <c r="AQ43" s="414"/>
      <c r="AR43" s="414"/>
      <c r="AS43" s="414"/>
      <c r="AT43" s="415"/>
      <c r="AV43" s="416"/>
      <c r="AW43" s="727"/>
      <c r="AX43" s="727"/>
      <c r="AY43" s="727"/>
      <c r="AZ43" s="727"/>
      <c r="BA43" s="418"/>
      <c r="BB43" s="414"/>
      <c r="BC43" s="414"/>
      <c r="BD43" s="414"/>
      <c r="BE43" s="414"/>
      <c r="BF43" s="414"/>
      <c r="BG43" s="415"/>
    </row>
    <row r="44" spans="2:59" ht="15.75" thickBot="1" x14ac:dyDescent="0.3">
      <c r="B44" s="416"/>
      <c r="C44" s="414"/>
      <c r="D44" s="414"/>
      <c r="E44" s="414"/>
      <c r="F44" s="414"/>
      <c r="G44" s="414"/>
      <c r="H44" s="414"/>
      <c r="I44" s="414"/>
      <c r="J44" s="414"/>
      <c r="K44" s="414"/>
      <c r="L44" s="414"/>
      <c r="M44" s="184" t="s">
        <v>75</v>
      </c>
      <c r="N44" s="406">
        <f>J59</f>
        <v>730.06823775895305</v>
      </c>
      <c r="O44" s="407" t="s">
        <v>76</v>
      </c>
      <c r="P44" s="414"/>
      <c r="Q44" s="414"/>
      <c r="R44" s="414"/>
      <c r="S44" s="414"/>
      <c r="T44" s="414"/>
      <c r="U44" s="414"/>
      <c r="V44" s="414"/>
      <c r="W44" s="414"/>
      <c r="X44" s="414"/>
      <c r="Y44" s="414"/>
      <c r="Z44" s="414"/>
      <c r="AA44" s="414"/>
      <c r="AB44" s="414"/>
      <c r="AC44" s="414"/>
      <c r="AD44" s="414"/>
      <c r="AE44" s="414"/>
      <c r="AF44" s="414"/>
      <c r="AG44" s="181" t="s">
        <v>19</v>
      </c>
      <c r="AH44" s="182">
        <f>AD29</f>
        <v>13</v>
      </c>
      <c r="AI44" s="183" t="s">
        <v>3</v>
      </c>
      <c r="AJ44" s="414"/>
      <c r="AK44" s="414"/>
      <c r="AL44" s="414"/>
      <c r="AM44" s="414"/>
      <c r="AN44" s="414"/>
      <c r="AO44" s="414"/>
      <c r="AP44" s="414"/>
      <c r="AQ44" s="414"/>
      <c r="AR44" s="414"/>
      <c r="AS44" s="414"/>
      <c r="AT44" s="415"/>
      <c r="AV44" s="416"/>
      <c r="AW44" s="728" t="s">
        <v>95</v>
      </c>
      <c r="AX44" s="728"/>
      <c r="AY44" s="728"/>
      <c r="AZ44" s="728"/>
      <c r="BA44" s="309" t="s">
        <v>96</v>
      </c>
      <c r="BB44" s="713">
        <v>75000</v>
      </c>
      <c r="BC44" s="713"/>
      <c r="BD44" s="713">
        <v>1900</v>
      </c>
      <c r="BE44" s="713"/>
      <c r="BF44" s="414"/>
      <c r="BG44" s="415"/>
    </row>
    <row r="45" spans="2:59" ht="15.75" thickBot="1" x14ac:dyDescent="0.3">
      <c r="B45" s="416"/>
      <c r="C45" s="414"/>
      <c r="D45" s="414"/>
      <c r="E45" s="414"/>
      <c r="F45" s="414"/>
      <c r="G45" s="414"/>
      <c r="H45" s="414"/>
      <c r="I45" s="414"/>
      <c r="J45" s="414"/>
      <c r="K45" s="414"/>
      <c r="L45" s="414"/>
      <c r="M45" s="181" t="s">
        <v>19</v>
      </c>
      <c r="N45" s="182">
        <f>J60</f>
        <v>13</v>
      </c>
      <c r="O45" s="183" t="s">
        <v>3</v>
      </c>
      <c r="P45" s="414"/>
      <c r="Q45" s="414"/>
      <c r="R45" s="414"/>
      <c r="S45" s="414"/>
      <c r="T45" s="414"/>
      <c r="U45" s="414"/>
      <c r="V45" s="414"/>
      <c r="W45" s="414"/>
      <c r="X45" s="414"/>
      <c r="Y45" s="697" t="s">
        <v>135</v>
      </c>
      <c r="Z45" s="698"/>
      <c r="AA45" s="698"/>
      <c r="AB45" s="698"/>
      <c r="AC45" s="699"/>
      <c r="AD45" s="414"/>
      <c r="AE45" s="414"/>
      <c r="AF45" s="414"/>
      <c r="AG45" s="409"/>
      <c r="AH45" s="410"/>
      <c r="AI45" s="411"/>
      <c r="AJ45" s="414"/>
      <c r="AK45" s="414"/>
      <c r="AL45" s="414"/>
      <c r="AM45" s="414"/>
      <c r="AN45" s="414"/>
      <c r="AO45" s="414"/>
      <c r="AP45" s="414"/>
      <c r="AQ45" s="414"/>
      <c r="AR45" s="414"/>
      <c r="AS45" s="414"/>
      <c r="AT45" s="415"/>
      <c r="AV45" s="416"/>
      <c r="AW45" s="728" t="s">
        <v>99</v>
      </c>
      <c r="AX45" s="728"/>
      <c r="AY45" s="728"/>
      <c r="AZ45" s="728"/>
      <c r="BA45" s="309" t="s">
        <v>96</v>
      </c>
      <c r="BB45" s="713">
        <f>BB44*0.1</f>
        <v>7500</v>
      </c>
      <c r="BC45" s="713"/>
      <c r="BD45" s="713">
        <v>0</v>
      </c>
      <c r="BE45" s="713"/>
      <c r="BF45" s="414"/>
      <c r="BG45" s="415"/>
    </row>
    <row r="46" spans="2:59" ht="15.75" thickBot="1" x14ac:dyDescent="0.3">
      <c r="B46" s="416"/>
      <c r="C46" s="414"/>
      <c r="D46" s="414"/>
      <c r="E46" s="414"/>
      <c r="F46" s="414"/>
      <c r="G46" s="414"/>
      <c r="H46" s="414"/>
      <c r="I46" s="414"/>
      <c r="J46" s="414"/>
      <c r="K46" s="414"/>
      <c r="L46" s="414"/>
      <c r="M46" s="188" t="s">
        <v>78</v>
      </c>
      <c r="N46" s="408">
        <f>J61</f>
        <v>25</v>
      </c>
      <c r="O46" s="195" t="s">
        <v>6</v>
      </c>
      <c r="P46" s="414"/>
      <c r="Q46" s="414"/>
      <c r="R46" s="414"/>
      <c r="S46" s="414"/>
      <c r="T46" s="414"/>
      <c r="U46" s="414"/>
      <c r="V46" s="414"/>
      <c r="W46" s="414"/>
      <c r="X46" s="414"/>
      <c r="Y46" s="799" t="s">
        <v>136</v>
      </c>
      <c r="Z46" s="800"/>
      <c r="AA46" s="801"/>
      <c r="AB46" s="802" t="s">
        <v>137</v>
      </c>
      <c r="AC46" s="803"/>
      <c r="AD46" s="414"/>
      <c r="AE46" s="414"/>
      <c r="AF46" s="414"/>
      <c r="AG46" s="190" t="s">
        <v>84</v>
      </c>
      <c r="AH46" s="792" t="s">
        <v>98</v>
      </c>
      <c r="AI46" s="793"/>
      <c r="AJ46" s="414"/>
      <c r="AK46" s="414"/>
      <c r="AL46" s="414"/>
      <c r="AM46" s="414"/>
      <c r="AN46" s="414"/>
      <c r="AO46" s="414"/>
      <c r="AP46" s="414"/>
      <c r="AQ46" s="414"/>
      <c r="AR46" s="414"/>
      <c r="AS46" s="414"/>
      <c r="AT46" s="415"/>
      <c r="AV46" s="416"/>
      <c r="AW46" s="728" t="s">
        <v>60</v>
      </c>
      <c r="AX46" s="728"/>
      <c r="AY46" s="728"/>
      <c r="AZ46" s="728"/>
      <c r="BA46" s="309" t="s">
        <v>25</v>
      </c>
      <c r="BB46" s="714">
        <v>0.19</v>
      </c>
      <c r="BC46" s="714"/>
      <c r="BD46" s="714">
        <v>0.19</v>
      </c>
      <c r="BE46" s="714"/>
      <c r="BF46" s="414"/>
      <c r="BG46" s="415"/>
    </row>
    <row r="47" spans="2:59" ht="15.75" thickBot="1" x14ac:dyDescent="0.3">
      <c r="B47" s="416"/>
      <c r="C47" s="414"/>
      <c r="D47" s="414"/>
      <c r="E47" s="414"/>
      <c r="F47" s="414"/>
      <c r="G47" s="414"/>
      <c r="H47" s="414"/>
      <c r="I47" s="414"/>
      <c r="J47" s="414"/>
      <c r="K47" s="414"/>
      <c r="L47" s="414"/>
      <c r="M47" s="190" t="s">
        <v>84</v>
      </c>
      <c r="N47" s="792" t="s">
        <v>98</v>
      </c>
      <c r="O47" s="793"/>
      <c r="P47" s="414"/>
      <c r="Q47" s="414"/>
      <c r="R47" s="414"/>
      <c r="S47" s="414"/>
      <c r="T47" s="414"/>
      <c r="U47" s="414"/>
      <c r="V47" s="414"/>
      <c r="W47" s="414"/>
      <c r="X47" s="414"/>
      <c r="Y47" s="769" t="s">
        <v>138</v>
      </c>
      <c r="Z47" s="770"/>
      <c r="AA47" s="771"/>
      <c r="AB47" s="194">
        <v>750</v>
      </c>
      <c r="AC47" s="195" t="s">
        <v>89</v>
      </c>
      <c r="AD47" s="414"/>
      <c r="AE47" s="414"/>
      <c r="AF47" s="414"/>
      <c r="AG47" s="414"/>
      <c r="AH47" s="414"/>
      <c r="AI47" s="414"/>
      <c r="AJ47" s="414"/>
      <c r="AK47" s="414"/>
      <c r="AL47" s="414"/>
      <c r="AM47" s="414"/>
      <c r="AN47" s="414"/>
      <c r="AO47" s="414"/>
      <c r="AP47" s="414"/>
      <c r="AQ47" s="414"/>
      <c r="AR47" s="414"/>
      <c r="AS47" s="414"/>
      <c r="AT47" s="415"/>
      <c r="AV47" s="416"/>
      <c r="AW47" s="728" t="s">
        <v>100</v>
      </c>
      <c r="AX47" s="728"/>
      <c r="AY47" s="728"/>
      <c r="AZ47" s="728"/>
      <c r="BA47" s="309" t="s">
        <v>96</v>
      </c>
      <c r="BB47" s="713">
        <f>(BB45+BB44)*(1+BB46)</f>
        <v>98175</v>
      </c>
      <c r="BC47" s="713"/>
      <c r="BD47" s="713">
        <f>(BD45+BD44)*(1+BD46)</f>
        <v>2261</v>
      </c>
      <c r="BE47" s="713"/>
      <c r="BF47" s="414"/>
      <c r="BG47" s="415"/>
    </row>
    <row r="48" spans="2:59" ht="15.75" thickBot="1" x14ac:dyDescent="0.3">
      <c r="B48" s="416"/>
      <c r="C48" s="414"/>
      <c r="D48" s="414"/>
      <c r="E48" s="414"/>
      <c r="F48" s="414"/>
      <c r="G48" s="414"/>
      <c r="H48" s="414"/>
      <c r="I48" s="414"/>
      <c r="J48" s="414"/>
      <c r="K48" s="414"/>
      <c r="L48" s="414"/>
      <c r="M48" s="414"/>
      <c r="N48" s="414"/>
      <c r="O48" s="414"/>
      <c r="P48" s="414"/>
      <c r="Q48" s="414"/>
      <c r="R48" s="414"/>
      <c r="S48" s="414"/>
      <c r="T48" s="414"/>
      <c r="U48" s="414"/>
      <c r="V48" s="414"/>
      <c r="W48" s="414"/>
      <c r="X48" s="414"/>
      <c r="Y48" s="764" t="s">
        <v>115</v>
      </c>
      <c r="Z48" s="765"/>
      <c r="AA48" s="766"/>
      <c r="AB48" s="412">
        <v>0.25</v>
      </c>
      <c r="AC48" s="191" t="s">
        <v>116</v>
      </c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  <c r="AQ48" s="414"/>
      <c r="AR48" s="414"/>
      <c r="AS48" s="414"/>
      <c r="AT48" s="415"/>
      <c r="AV48" s="416"/>
      <c r="AW48" s="735" t="s">
        <v>101</v>
      </c>
      <c r="AX48" s="735"/>
      <c r="AY48" s="735"/>
      <c r="AZ48" s="735"/>
      <c r="BA48" s="319" t="s">
        <v>96</v>
      </c>
      <c r="BB48" s="712">
        <f>BB47*COST_FACTOR</f>
        <v>107992.50000000001</v>
      </c>
      <c r="BC48" s="712"/>
      <c r="BD48" s="712">
        <f>BD47*COST_FACTOR</f>
        <v>2487.1000000000004</v>
      </c>
      <c r="BE48" s="712"/>
      <c r="BF48" s="414"/>
      <c r="BG48" s="415"/>
    </row>
    <row r="49" spans="2:59" ht="15.75" thickBot="1" x14ac:dyDescent="0.3">
      <c r="B49" s="416"/>
      <c r="C49" s="414"/>
      <c r="D49" s="414"/>
      <c r="E49" s="414"/>
      <c r="F49" s="414"/>
      <c r="G49" s="414"/>
      <c r="H49" s="414"/>
      <c r="I49" s="414"/>
      <c r="J49" s="414"/>
      <c r="K49" s="414"/>
      <c r="L49" s="414"/>
      <c r="M49" s="414"/>
      <c r="N49" s="414"/>
      <c r="O49" s="414"/>
      <c r="P49" s="414"/>
      <c r="Q49" s="414"/>
      <c r="R49" s="414"/>
      <c r="S49" s="414"/>
      <c r="T49" s="414"/>
      <c r="U49" s="414"/>
      <c r="V49" s="414"/>
      <c r="W49" s="414"/>
      <c r="X49" s="414"/>
      <c r="Y49" s="414"/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414"/>
      <c r="AL49" s="414"/>
      <c r="AM49" s="414"/>
      <c r="AN49" s="414"/>
      <c r="AO49" s="414"/>
      <c r="AP49" s="414"/>
      <c r="AQ49" s="414"/>
      <c r="AR49" s="414"/>
      <c r="AS49" s="414"/>
      <c r="AT49" s="415"/>
      <c r="AV49" s="438"/>
      <c r="AW49" s="763"/>
      <c r="AX49" s="763"/>
      <c r="AY49" s="763"/>
      <c r="AZ49" s="763"/>
      <c r="BA49" s="439"/>
      <c r="BB49" s="439"/>
      <c r="BC49" s="439"/>
      <c r="BD49" s="439"/>
      <c r="BE49" s="439"/>
      <c r="BF49" s="439"/>
      <c r="BG49" s="441"/>
    </row>
    <row r="50" spans="2:59" x14ac:dyDescent="0.25">
      <c r="B50" s="416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5"/>
      <c r="AW50" s="743"/>
      <c r="AX50" s="743"/>
      <c r="AY50" s="743"/>
      <c r="AZ50" s="743"/>
    </row>
    <row r="51" spans="2:59" x14ac:dyDescent="0.25">
      <c r="B51" s="416"/>
      <c r="C51" s="414"/>
      <c r="D51" s="414"/>
      <c r="E51" s="414"/>
      <c r="F51" s="414"/>
      <c r="G51" s="414"/>
      <c r="H51" s="414"/>
      <c r="I51" s="414"/>
      <c r="J51" s="414"/>
      <c r="K51" s="414"/>
      <c r="L51" s="414"/>
      <c r="M51" s="414"/>
      <c r="N51" s="414"/>
      <c r="O51" s="414"/>
      <c r="P51" s="414"/>
      <c r="Q51" s="414"/>
      <c r="R51" s="414"/>
      <c r="S51" s="414"/>
      <c r="T51" s="414"/>
      <c r="U51" s="414"/>
      <c r="V51" s="414"/>
      <c r="W51" s="414"/>
      <c r="X51" s="414"/>
      <c r="Y51" s="414"/>
      <c r="Z51" s="414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  <c r="AQ51" s="414"/>
      <c r="AR51" s="414"/>
      <c r="AS51" s="414"/>
      <c r="AT51" s="415"/>
      <c r="AW51" s="743"/>
      <c r="AX51" s="743"/>
      <c r="AY51" s="743"/>
      <c r="AZ51" s="743"/>
    </row>
    <row r="52" spans="2:59" x14ac:dyDescent="0.25">
      <c r="B52" s="416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4"/>
      <c r="X52" s="414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5"/>
      <c r="AW52" s="743"/>
      <c r="AX52" s="743"/>
      <c r="AY52" s="743"/>
      <c r="AZ52" s="743"/>
    </row>
    <row r="53" spans="2:59" x14ac:dyDescent="0.25">
      <c r="B53" s="416"/>
      <c r="C53" s="414"/>
      <c r="D53" s="414"/>
      <c r="E53" s="414"/>
      <c r="F53" s="414"/>
      <c r="G53" s="414"/>
      <c r="H53" s="414"/>
      <c r="I53" s="414"/>
      <c r="J53" s="414"/>
      <c r="K53" s="414"/>
      <c r="L53" s="414"/>
      <c r="M53" s="414"/>
      <c r="N53" s="414"/>
      <c r="O53" s="414"/>
      <c r="P53" s="414"/>
      <c r="Q53" s="414"/>
      <c r="R53" s="414"/>
      <c r="S53" s="414"/>
      <c r="T53" s="414"/>
      <c r="U53" s="414"/>
      <c r="V53" s="414"/>
      <c r="W53" s="414"/>
      <c r="X53" s="414"/>
      <c r="Y53" s="414"/>
      <c r="Z53" s="414"/>
      <c r="AA53" s="414"/>
      <c r="AB53" s="414"/>
      <c r="AC53" s="414"/>
      <c r="AD53" s="414"/>
      <c r="AE53" s="414"/>
      <c r="AF53" s="414"/>
      <c r="AG53" s="414"/>
      <c r="AH53" s="414"/>
      <c r="AI53" s="414"/>
      <c r="AJ53" s="414"/>
      <c r="AK53" s="414"/>
      <c r="AL53" s="414"/>
      <c r="AM53" s="414"/>
      <c r="AN53" s="414"/>
      <c r="AO53" s="414"/>
      <c r="AP53" s="414"/>
      <c r="AQ53" s="414"/>
      <c r="AR53" s="414"/>
      <c r="AS53" s="414"/>
      <c r="AT53" s="415"/>
      <c r="AW53" s="743"/>
      <c r="AX53" s="743"/>
      <c r="AY53" s="743"/>
      <c r="AZ53" s="743"/>
    </row>
    <row r="54" spans="2:59" x14ac:dyDescent="0.25">
      <c r="B54" s="416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4"/>
      <c r="X54" s="414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5"/>
      <c r="AW54" s="743"/>
      <c r="AX54" s="743"/>
      <c r="AY54" s="743"/>
      <c r="AZ54" s="743"/>
    </row>
    <row r="55" spans="2:59" x14ac:dyDescent="0.25">
      <c r="B55" s="416"/>
      <c r="C55" s="414"/>
      <c r="D55" s="414"/>
      <c r="E55" s="414"/>
      <c r="F55" s="414"/>
      <c r="G55" s="414"/>
      <c r="H55" s="414"/>
      <c r="I55" s="414"/>
      <c r="J55" s="414"/>
      <c r="K55" s="414"/>
      <c r="L55" s="414"/>
      <c r="M55" s="414"/>
      <c r="N55" s="414"/>
      <c r="O55" s="414"/>
      <c r="P55" s="414"/>
      <c r="Q55" s="414"/>
      <c r="R55" s="414"/>
      <c r="S55" s="414"/>
      <c r="T55" s="414"/>
      <c r="U55" s="414"/>
      <c r="V55" s="414"/>
      <c r="W55" s="414"/>
      <c r="X55" s="414"/>
      <c r="Y55" s="414"/>
      <c r="Z55" s="414"/>
      <c r="AA55" s="414"/>
      <c r="AB55" s="414"/>
      <c r="AC55" s="414"/>
      <c r="AD55" s="414"/>
      <c r="AE55" s="414"/>
      <c r="AF55" s="414"/>
      <c r="AG55" s="414"/>
      <c r="AH55" s="414"/>
      <c r="AI55" s="414"/>
      <c r="AJ55" s="414"/>
      <c r="AK55" s="414"/>
      <c r="AL55" s="414"/>
      <c r="AM55" s="414"/>
      <c r="AN55" s="414"/>
      <c r="AO55" s="414"/>
      <c r="AP55" s="414"/>
      <c r="AQ55" s="414"/>
      <c r="AR55" s="414"/>
      <c r="AS55" s="414"/>
      <c r="AT55" s="415"/>
      <c r="AW55" s="743"/>
      <c r="AX55" s="743"/>
      <c r="AY55" s="743"/>
      <c r="AZ55" s="743"/>
    </row>
    <row r="56" spans="2:59" x14ac:dyDescent="0.25">
      <c r="B56" s="416"/>
      <c r="C56" s="414"/>
      <c r="D56" s="414"/>
      <c r="E56" s="414"/>
      <c r="F56" s="414"/>
      <c r="G56" s="414"/>
      <c r="H56" s="414"/>
      <c r="I56" s="414"/>
      <c r="J56" s="414"/>
      <c r="K56" s="414"/>
      <c r="L56" s="414"/>
      <c r="M56" s="414"/>
      <c r="N56" s="414"/>
      <c r="O56" s="414"/>
      <c r="P56" s="414"/>
      <c r="Q56" s="414"/>
      <c r="R56" s="414"/>
      <c r="S56" s="414"/>
      <c r="T56" s="414"/>
      <c r="U56" s="414"/>
      <c r="V56" s="414"/>
      <c r="W56" s="414"/>
      <c r="X56" s="414"/>
      <c r="Y56" s="414"/>
      <c r="Z56" s="414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5"/>
      <c r="AW56" s="743"/>
      <c r="AX56" s="743"/>
      <c r="AY56" s="743"/>
      <c r="AZ56" s="743"/>
    </row>
    <row r="57" spans="2:59" x14ac:dyDescent="0.25">
      <c r="B57" s="416"/>
      <c r="C57" s="414"/>
      <c r="D57" s="414"/>
      <c r="E57" s="414"/>
      <c r="F57" s="414"/>
      <c r="G57" s="414"/>
      <c r="H57" s="414"/>
      <c r="I57" s="414"/>
      <c r="J57" s="414"/>
      <c r="K57" s="414"/>
      <c r="L57" s="414"/>
      <c r="M57" s="414"/>
      <c r="N57" s="414"/>
      <c r="O57" s="414"/>
      <c r="P57" s="414"/>
      <c r="Q57" s="414"/>
      <c r="R57" s="414"/>
      <c r="S57" s="414"/>
      <c r="T57" s="414"/>
      <c r="U57" s="414"/>
      <c r="V57" s="414"/>
      <c r="W57" s="414"/>
      <c r="X57" s="414"/>
      <c r="Y57" s="414"/>
      <c r="Z57" s="414"/>
      <c r="AA57" s="414"/>
      <c r="AB57" s="414"/>
      <c r="AC57" s="414"/>
      <c r="AD57" s="414"/>
      <c r="AE57" s="414"/>
      <c r="AF57" s="414"/>
      <c r="AG57" s="414"/>
      <c r="AH57" s="414"/>
      <c r="AI57" s="414"/>
      <c r="AJ57" s="414"/>
      <c r="AK57" s="414"/>
      <c r="AL57" s="414"/>
      <c r="AM57" s="414"/>
      <c r="AN57" s="414"/>
      <c r="AO57" s="414"/>
      <c r="AP57" s="414"/>
      <c r="AQ57" s="414"/>
      <c r="AR57" s="414"/>
      <c r="AS57" s="414"/>
      <c r="AT57" s="415"/>
      <c r="AW57" s="743"/>
      <c r="AX57" s="743"/>
      <c r="AY57" s="743"/>
      <c r="AZ57" s="743"/>
    </row>
    <row r="58" spans="2:59" ht="15.75" thickBot="1" x14ac:dyDescent="0.3">
      <c r="B58" s="416"/>
      <c r="C58" s="414"/>
      <c r="D58" s="414"/>
      <c r="E58" s="414"/>
      <c r="F58" s="414"/>
      <c r="G58" s="414"/>
      <c r="H58" s="414"/>
      <c r="I58" s="414"/>
      <c r="J58" s="414"/>
      <c r="K58" s="414"/>
      <c r="L58" s="414"/>
      <c r="M58" s="414"/>
      <c r="N58" s="414"/>
      <c r="O58" s="414"/>
      <c r="P58" s="414"/>
      <c r="Q58" s="414"/>
      <c r="R58" s="414"/>
      <c r="S58" s="414"/>
      <c r="T58" s="414"/>
      <c r="U58" s="414"/>
      <c r="V58" s="414"/>
      <c r="W58" s="414"/>
      <c r="X58" s="414"/>
      <c r="Y58" s="414"/>
      <c r="Z58" s="414"/>
      <c r="AA58" s="414"/>
      <c r="AB58" s="414"/>
      <c r="AC58" s="414"/>
      <c r="AD58" s="414"/>
      <c r="AE58" s="414"/>
      <c r="AF58" s="414"/>
      <c r="AG58" s="414"/>
      <c r="AH58" s="414"/>
      <c r="AI58" s="414"/>
      <c r="AJ58" s="414"/>
      <c r="AK58" s="414"/>
      <c r="AL58" s="414"/>
      <c r="AM58" s="414"/>
      <c r="AN58" s="414"/>
      <c r="AO58" s="414"/>
      <c r="AP58" s="414"/>
      <c r="AQ58" s="414"/>
      <c r="AR58" s="414"/>
      <c r="AS58" s="414"/>
      <c r="AT58" s="415"/>
      <c r="AW58" s="743"/>
      <c r="AX58" s="743"/>
      <c r="AY58" s="743"/>
      <c r="AZ58" s="743"/>
    </row>
    <row r="59" spans="2:59" x14ac:dyDescent="0.25">
      <c r="B59" s="416"/>
      <c r="C59" s="414"/>
      <c r="D59" s="414"/>
      <c r="E59" s="414"/>
      <c r="F59" s="414"/>
      <c r="G59" s="414"/>
      <c r="H59" s="414"/>
      <c r="I59" s="184" t="s">
        <v>75</v>
      </c>
      <c r="J59" s="406">
        <f>E33</f>
        <v>730.06823775895305</v>
      </c>
      <c r="K59" s="407" t="s">
        <v>76</v>
      </c>
      <c r="L59" s="414"/>
      <c r="M59" s="414"/>
      <c r="N59" s="414"/>
      <c r="O59" s="414"/>
      <c r="P59" s="414"/>
      <c r="Q59" s="414"/>
      <c r="R59" s="414"/>
      <c r="S59" s="414"/>
      <c r="T59" s="414"/>
      <c r="U59" s="414"/>
      <c r="V59" s="414"/>
      <c r="W59" s="414"/>
      <c r="X59" s="414"/>
      <c r="Y59" s="414"/>
      <c r="Z59" s="414"/>
      <c r="AA59" s="414"/>
      <c r="AB59" s="414"/>
      <c r="AC59" s="414"/>
      <c r="AD59" s="414"/>
      <c r="AE59" s="414"/>
      <c r="AF59" s="414"/>
      <c r="AG59" s="414"/>
      <c r="AH59" s="414"/>
      <c r="AI59" s="414"/>
      <c r="AJ59" s="414"/>
      <c r="AK59" s="414"/>
      <c r="AL59" s="414"/>
      <c r="AM59" s="414"/>
      <c r="AN59" s="414"/>
      <c r="AO59" s="184" t="s">
        <v>75</v>
      </c>
      <c r="AP59" s="406">
        <f>AJ32</f>
        <v>180.99608394440708</v>
      </c>
      <c r="AQ59" s="407" t="s">
        <v>76</v>
      </c>
      <c r="AR59" s="414"/>
      <c r="AS59" s="414"/>
      <c r="AT59" s="415"/>
      <c r="AW59" s="743"/>
      <c r="AX59" s="743"/>
      <c r="AY59" s="743"/>
      <c r="AZ59" s="743"/>
    </row>
    <row r="60" spans="2:59" ht="15.75" thickBot="1" x14ac:dyDescent="0.3">
      <c r="B60" s="416"/>
      <c r="C60" s="414"/>
      <c r="D60" s="414"/>
      <c r="E60" s="414"/>
      <c r="F60" s="414"/>
      <c r="G60" s="414"/>
      <c r="H60" s="414"/>
      <c r="I60" s="181" t="s">
        <v>19</v>
      </c>
      <c r="J60" s="182">
        <f>E34</f>
        <v>13</v>
      </c>
      <c r="K60" s="183" t="s">
        <v>3</v>
      </c>
      <c r="L60" s="414"/>
      <c r="M60" s="414"/>
      <c r="N60" s="414"/>
      <c r="O60" s="414"/>
      <c r="P60" s="414"/>
      <c r="Q60" s="414"/>
      <c r="R60" s="414"/>
      <c r="S60" s="414"/>
      <c r="T60" s="414"/>
      <c r="U60" s="414"/>
      <c r="V60" s="414"/>
      <c r="W60" s="414"/>
      <c r="X60" s="414"/>
      <c r="Y60" s="414"/>
      <c r="Z60" s="414"/>
      <c r="AA60" s="414"/>
      <c r="AB60" s="414"/>
      <c r="AC60" s="414"/>
      <c r="AD60" s="414"/>
      <c r="AE60" s="414"/>
      <c r="AF60" s="414"/>
      <c r="AG60" s="414"/>
      <c r="AH60" s="414"/>
      <c r="AI60" s="414"/>
      <c r="AJ60" s="414"/>
      <c r="AK60" s="414"/>
      <c r="AL60" s="414"/>
      <c r="AM60" s="414"/>
      <c r="AN60" s="414"/>
      <c r="AO60" s="181" t="s">
        <v>19</v>
      </c>
      <c r="AP60" s="182">
        <f>AJ33</f>
        <v>13</v>
      </c>
      <c r="AQ60" s="183" t="s">
        <v>3</v>
      </c>
      <c r="AR60" s="414"/>
      <c r="AS60" s="414"/>
      <c r="AT60" s="415"/>
      <c r="AW60" s="743"/>
      <c r="AX60" s="743"/>
      <c r="AY60" s="743"/>
      <c r="AZ60" s="743"/>
    </row>
    <row r="61" spans="2:59" ht="15.75" thickBot="1" x14ac:dyDescent="0.3">
      <c r="B61" s="416"/>
      <c r="C61" s="414"/>
      <c r="D61" s="414"/>
      <c r="E61" s="414"/>
      <c r="F61" s="414"/>
      <c r="G61" s="414"/>
      <c r="H61" s="414"/>
      <c r="I61" s="188" t="s">
        <v>78</v>
      </c>
      <c r="J61" s="408">
        <f>E35</f>
        <v>25</v>
      </c>
      <c r="K61" s="195" t="s">
        <v>6</v>
      </c>
      <c r="L61" s="414"/>
      <c r="M61" s="697" t="s">
        <v>123</v>
      </c>
      <c r="N61" s="698"/>
      <c r="O61" s="698"/>
      <c r="P61" s="698"/>
      <c r="Q61" s="699"/>
      <c r="R61" s="414"/>
      <c r="S61" s="414"/>
      <c r="T61" s="414"/>
      <c r="U61" s="414"/>
      <c r="V61" s="414"/>
      <c r="W61" s="414"/>
      <c r="X61" s="414"/>
      <c r="Y61" s="414"/>
      <c r="Z61" s="414"/>
      <c r="AA61" s="414"/>
      <c r="AB61" s="414"/>
      <c r="AC61" s="414"/>
      <c r="AD61" s="414"/>
      <c r="AE61" s="414"/>
      <c r="AF61" s="414"/>
      <c r="AG61" s="414"/>
      <c r="AH61" s="414"/>
      <c r="AI61" s="414"/>
      <c r="AJ61" s="414"/>
      <c r="AK61" s="414"/>
      <c r="AL61" s="414"/>
      <c r="AM61" s="414"/>
      <c r="AN61" s="414"/>
      <c r="AO61" s="409"/>
      <c r="AP61" s="410"/>
      <c r="AQ61" s="411"/>
      <c r="AR61" s="414"/>
      <c r="AS61" s="414"/>
      <c r="AT61" s="415"/>
      <c r="AW61" s="743"/>
      <c r="AX61" s="743"/>
      <c r="AY61" s="743"/>
      <c r="AZ61" s="743"/>
    </row>
    <row r="62" spans="2:59" ht="15.75" thickBot="1" x14ac:dyDescent="0.3">
      <c r="B62" s="416"/>
      <c r="C62" s="414"/>
      <c r="D62" s="414"/>
      <c r="E62" s="414"/>
      <c r="F62" s="414"/>
      <c r="G62" s="414"/>
      <c r="H62" s="414"/>
      <c r="I62" s="190" t="s">
        <v>84</v>
      </c>
      <c r="J62" s="792" t="s">
        <v>98</v>
      </c>
      <c r="K62" s="793"/>
      <c r="L62" s="414"/>
      <c r="M62" s="799" t="s">
        <v>139</v>
      </c>
      <c r="N62" s="800"/>
      <c r="O62" s="801"/>
      <c r="P62" s="182" t="s">
        <v>140</v>
      </c>
      <c r="Q62" s="183" t="s">
        <v>25</v>
      </c>
      <c r="R62" s="414"/>
      <c r="S62" s="414"/>
      <c r="T62" s="414"/>
      <c r="U62" s="414"/>
      <c r="V62" s="414"/>
      <c r="W62" s="414"/>
      <c r="X62" s="414"/>
      <c r="Y62" s="414"/>
      <c r="Z62" s="414"/>
      <c r="AA62" s="414"/>
      <c r="AB62" s="414"/>
      <c r="AC62" s="414"/>
      <c r="AD62" s="414"/>
      <c r="AE62" s="414"/>
      <c r="AF62" s="414"/>
      <c r="AG62" s="414"/>
      <c r="AH62" s="414"/>
      <c r="AI62" s="414"/>
      <c r="AJ62" s="414"/>
      <c r="AK62" s="414"/>
      <c r="AL62" s="414"/>
      <c r="AM62" s="414"/>
      <c r="AN62" s="414"/>
      <c r="AO62" s="190" t="s">
        <v>84</v>
      </c>
      <c r="AP62" s="792" t="s">
        <v>98</v>
      </c>
      <c r="AQ62" s="793"/>
      <c r="AR62" s="414"/>
      <c r="AS62" s="414"/>
      <c r="AT62" s="415"/>
      <c r="AW62" s="743"/>
      <c r="AX62" s="743"/>
      <c r="AY62" s="743"/>
      <c r="AZ62" s="743"/>
    </row>
    <row r="63" spans="2:59" ht="15.75" thickBot="1" x14ac:dyDescent="0.3">
      <c r="B63" s="416"/>
      <c r="C63" s="414"/>
      <c r="D63" s="414"/>
      <c r="E63" s="414"/>
      <c r="F63" s="414"/>
      <c r="G63" s="414"/>
      <c r="H63" s="414"/>
      <c r="I63" s="414"/>
      <c r="J63" s="414"/>
      <c r="K63" s="414"/>
      <c r="L63" s="414"/>
      <c r="M63" s="769" t="s">
        <v>141</v>
      </c>
      <c r="N63" s="770"/>
      <c r="O63" s="771"/>
      <c r="P63" s="194" t="s">
        <v>142</v>
      </c>
      <c r="Q63" s="195" t="s">
        <v>143</v>
      </c>
      <c r="R63" s="414"/>
      <c r="S63" s="414"/>
      <c r="T63" s="414"/>
      <c r="U63" s="414"/>
      <c r="V63" s="414"/>
      <c r="W63" s="414"/>
      <c r="X63" s="414"/>
      <c r="Y63" s="414"/>
      <c r="Z63" s="414"/>
      <c r="AA63" s="414"/>
      <c r="AB63" s="414"/>
      <c r="AC63" s="414"/>
      <c r="AD63" s="414"/>
      <c r="AE63" s="414"/>
      <c r="AF63" s="414"/>
      <c r="AG63" s="414"/>
      <c r="AH63" s="414"/>
      <c r="AI63" s="414"/>
      <c r="AJ63" s="414"/>
      <c r="AK63" s="414"/>
      <c r="AL63" s="414"/>
      <c r="AM63" s="414"/>
      <c r="AN63" s="414"/>
      <c r="AO63" s="414"/>
      <c r="AP63" s="414"/>
      <c r="AQ63" s="414"/>
      <c r="AR63" s="414"/>
      <c r="AS63" s="414"/>
      <c r="AT63" s="415"/>
      <c r="AW63" s="743"/>
      <c r="AX63" s="743"/>
      <c r="AY63" s="743"/>
      <c r="AZ63" s="743"/>
    </row>
    <row r="64" spans="2:59" ht="15.75" thickBot="1" x14ac:dyDescent="0.3">
      <c r="B64" s="416"/>
      <c r="C64" s="414"/>
      <c r="D64" s="414"/>
      <c r="E64" s="414"/>
      <c r="F64" s="414"/>
      <c r="G64" s="414"/>
      <c r="H64" s="414"/>
      <c r="I64" s="414"/>
      <c r="J64" s="414"/>
      <c r="K64" s="414"/>
      <c r="L64" s="414"/>
      <c r="M64" s="764" t="s">
        <v>115</v>
      </c>
      <c r="N64" s="765"/>
      <c r="O64" s="766"/>
      <c r="P64" s="412">
        <v>0.9</v>
      </c>
      <c r="Q64" s="191" t="s">
        <v>116</v>
      </c>
      <c r="R64" s="414"/>
      <c r="S64" s="414"/>
      <c r="T64" s="414"/>
      <c r="U64" s="414"/>
      <c r="V64" s="795" t="s">
        <v>144</v>
      </c>
      <c r="W64" s="796"/>
      <c r="X64" s="796"/>
      <c r="Y64" s="796"/>
      <c r="Z64" s="796"/>
      <c r="AA64" s="797"/>
      <c r="AB64" s="414"/>
      <c r="AC64" s="780" t="s">
        <v>145</v>
      </c>
      <c r="AD64" s="781"/>
      <c r="AE64" s="781"/>
      <c r="AF64" s="781"/>
      <c r="AG64" s="781"/>
      <c r="AH64" s="781"/>
      <c r="AI64" s="781"/>
      <c r="AJ64" s="781"/>
      <c r="AK64" s="781"/>
      <c r="AL64" s="781"/>
      <c r="AM64" s="781"/>
      <c r="AN64" s="781"/>
      <c r="AO64" s="781"/>
      <c r="AP64" s="781"/>
      <c r="AQ64" s="781"/>
      <c r="AR64" s="781"/>
      <c r="AS64" s="782"/>
      <c r="AT64" s="415"/>
      <c r="AW64" s="743"/>
      <c r="AX64" s="743"/>
      <c r="AY64" s="743"/>
      <c r="AZ64" s="743"/>
    </row>
    <row r="65" spans="2:52" ht="15.75" thickBot="1" x14ac:dyDescent="0.3">
      <c r="B65" s="416"/>
      <c r="C65" s="414"/>
      <c r="D65" s="414"/>
      <c r="E65" s="414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4"/>
      <c r="R65" s="414"/>
      <c r="S65" s="414"/>
      <c r="T65" s="414"/>
      <c r="U65" s="414"/>
      <c r="V65" s="798" t="s">
        <v>146</v>
      </c>
      <c r="W65" s="798"/>
      <c r="X65" s="798"/>
      <c r="Y65" s="798"/>
      <c r="Z65" s="179">
        <f>P64+Z30+AL24+AB48</f>
        <v>41.15</v>
      </c>
      <c r="AA65" s="177" t="s">
        <v>116</v>
      </c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  <c r="AQ65" s="414"/>
      <c r="AR65" s="414"/>
      <c r="AS65" s="414"/>
      <c r="AT65" s="415"/>
      <c r="AW65" s="743"/>
      <c r="AX65" s="743"/>
      <c r="AY65" s="743"/>
      <c r="AZ65" s="743"/>
    </row>
    <row r="66" spans="2:52" ht="15.75" thickBot="1" x14ac:dyDescent="0.3">
      <c r="B66" s="416"/>
      <c r="C66" s="414"/>
      <c r="D66" s="414"/>
      <c r="E66" s="414"/>
      <c r="F66" s="414"/>
      <c r="G66" s="414"/>
      <c r="H66" s="414"/>
      <c r="I66" s="414"/>
      <c r="J66" s="414"/>
      <c r="K66" s="414"/>
      <c r="L66" s="414"/>
      <c r="M66" s="414"/>
      <c r="N66" s="414"/>
      <c r="O66" s="414"/>
      <c r="P66" s="414"/>
      <c r="Q66" s="414"/>
      <c r="R66" s="414"/>
      <c r="S66" s="414"/>
      <c r="T66" s="414"/>
      <c r="U66" s="414"/>
      <c r="V66" s="798" t="s">
        <v>147</v>
      </c>
      <c r="W66" s="798"/>
      <c r="X66" s="798"/>
      <c r="Y66" s="798"/>
      <c r="Z66" s="515">
        <f>Z65*24*OPER_YEAR</f>
        <v>336771.6</v>
      </c>
      <c r="AA66" s="177" t="s">
        <v>148</v>
      </c>
      <c r="AB66" s="414"/>
      <c r="AC66" s="437"/>
      <c r="AD66" s="437"/>
      <c r="AE66" s="437"/>
      <c r="AF66" s="425" t="s">
        <v>149</v>
      </c>
      <c r="AG66" s="425">
        <v>1</v>
      </c>
      <c r="AH66" s="426">
        <v>2</v>
      </c>
      <c r="AI66" s="426">
        <v>3</v>
      </c>
      <c r="AJ66" s="426">
        <v>4</v>
      </c>
      <c r="AK66" s="426">
        <v>5</v>
      </c>
      <c r="AL66" s="426">
        <v>6</v>
      </c>
      <c r="AM66" s="426">
        <v>7</v>
      </c>
      <c r="AN66" s="426">
        <v>8</v>
      </c>
      <c r="AO66" s="426">
        <v>9</v>
      </c>
      <c r="AP66" s="426">
        <v>10</v>
      </c>
      <c r="AQ66" s="426">
        <v>11</v>
      </c>
      <c r="AR66" s="426">
        <v>12</v>
      </c>
      <c r="AS66" s="427">
        <v>13</v>
      </c>
      <c r="AT66" s="415"/>
      <c r="AW66" s="743"/>
      <c r="AX66" s="743"/>
      <c r="AY66" s="743"/>
      <c r="AZ66" s="743"/>
    </row>
    <row r="67" spans="2:52" x14ac:dyDescent="0.25">
      <c r="B67" s="416"/>
      <c r="C67" s="414"/>
      <c r="D67" s="414"/>
      <c r="E67" s="414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4"/>
      <c r="R67" s="414"/>
      <c r="S67" s="414"/>
      <c r="T67" s="414"/>
      <c r="U67" s="414"/>
      <c r="V67" s="794"/>
      <c r="W67" s="794"/>
      <c r="X67" s="794"/>
      <c r="Y67" s="794"/>
      <c r="Z67" s="513"/>
      <c r="AA67" s="137"/>
      <c r="AB67" s="414"/>
      <c r="AC67" s="783" t="s">
        <v>150</v>
      </c>
      <c r="AD67" s="784"/>
      <c r="AE67" s="785"/>
      <c r="AF67" s="153"/>
      <c r="AG67" s="401" t="s">
        <v>25</v>
      </c>
      <c r="AH67" s="153" t="str">
        <f>AG68</f>
        <v>TK-101</v>
      </c>
      <c r="AI67" s="153" t="s">
        <v>25</v>
      </c>
      <c r="AJ67" s="153" t="str">
        <f>AI68</f>
        <v>TK-102</v>
      </c>
      <c r="AK67" s="153" t="str">
        <f>AJ68</f>
        <v>CR-101</v>
      </c>
      <c r="AL67" s="153" t="str">
        <f>AK68</f>
        <v>TK-103A/B</v>
      </c>
      <c r="AM67" s="153" t="str">
        <f>AL68</f>
        <v>CR-102</v>
      </c>
      <c r="AN67" s="153" t="str">
        <f>AL68</f>
        <v>CR-102</v>
      </c>
      <c r="AO67" s="153" t="str">
        <f>AN68</f>
        <v>EQ-101</v>
      </c>
      <c r="AP67" s="153" t="str">
        <f>AN68</f>
        <v>EQ-101</v>
      </c>
      <c r="AQ67" s="153" t="str">
        <f>AP68</f>
        <v>EQ-102</v>
      </c>
      <c r="AR67" s="153" t="str">
        <f>AP68</f>
        <v>EQ-102</v>
      </c>
      <c r="AS67" s="419" t="str">
        <f>AR68</f>
        <v>TK-104</v>
      </c>
      <c r="AT67" s="415"/>
      <c r="AW67" s="743"/>
      <c r="AX67" s="743"/>
      <c r="AY67" s="743"/>
      <c r="AZ67" s="743"/>
    </row>
    <row r="68" spans="2:52" x14ac:dyDescent="0.25">
      <c r="B68" s="416"/>
      <c r="C68" s="414"/>
      <c r="D68" s="414"/>
      <c r="E68" s="414"/>
      <c r="F68" s="414"/>
      <c r="G68" s="414"/>
      <c r="H68" s="414"/>
      <c r="I68" s="414"/>
      <c r="J68" s="414"/>
      <c r="K68" s="414"/>
      <c r="L68" s="414"/>
      <c r="M68" s="414"/>
      <c r="N68" s="414"/>
      <c r="O68" s="414"/>
      <c r="P68" s="414"/>
      <c r="Q68" s="414"/>
      <c r="R68" s="414"/>
      <c r="S68" s="414"/>
      <c r="T68" s="414"/>
      <c r="U68" s="414"/>
      <c r="V68" s="137"/>
      <c r="W68" s="137"/>
      <c r="X68" s="137"/>
      <c r="Y68" s="137"/>
      <c r="Z68" s="514"/>
      <c r="AA68" s="137"/>
      <c r="AB68" s="414"/>
      <c r="AC68" s="772" t="s">
        <v>151</v>
      </c>
      <c r="AD68" s="773"/>
      <c r="AE68" s="774"/>
      <c r="AF68" s="153"/>
      <c r="AG68" s="401" t="s">
        <v>79</v>
      </c>
      <c r="AH68" s="153" t="s">
        <v>152</v>
      </c>
      <c r="AI68" s="153" t="s">
        <v>80</v>
      </c>
      <c r="AJ68" s="153" t="s">
        <v>104</v>
      </c>
      <c r="AK68" s="153" t="str">
        <f>AH68</f>
        <v>TK-103A/B</v>
      </c>
      <c r="AL68" s="153" t="s">
        <v>105</v>
      </c>
      <c r="AM68" s="153" t="s">
        <v>25</v>
      </c>
      <c r="AN68" s="153" t="s">
        <v>129</v>
      </c>
      <c r="AO68" s="153" t="s">
        <v>25</v>
      </c>
      <c r="AP68" s="153" t="s">
        <v>130</v>
      </c>
      <c r="AQ68" s="153" t="s">
        <v>25</v>
      </c>
      <c r="AR68" s="153" t="s">
        <v>83</v>
      </c>
      <c r="AS68" s="154" t="s">
        <v>153</v>
      </c>
      <c r="AT68" s="415"/>
      <c r="AW68" s="743"/>
      <c r="AX68" s="743"/>
      <c r="AY68" s="743"/>
      <c r="AZ68" s="743"/>
    </row>
    <row r="69" spans="2:52" x14ac:dyDescent="0.25">
      <c r="B69" s="416"/>
      <c r="C69" s="414"/>
      <c r="D69" s="414"/>
      <c r="E69" s="414"/>
      <c r="F69" s="414"/>
      <c r="G69" s="414"/>
      <c r="H69" s="414"/>
      <c r="I69" s="414"/>
      <c r="J69" s="414"/>
      <c r="K69" s="414"/>
      <c r="L69" s="414"/>
      <c r="M69" s="414"/>
      <c r="N69" s="414"/>
      <c r="O69" s="414"/>
      <c r="P69" s="414"/>
      <c r="Q69" s="414"/>
      <c r="R69" s="414"/>
      <c r="S69" s="414"/>
      <c r="T69" s="414"/>
      <c r="U69" s="414"/>
      <c r="V69" s="414"/>
      <c r="W69" s="414"/>
      <c r="X69" s="414"/>
      <c r="Y69" s="414"/>
      <c r="Z69" s="414"/>
      <c r="AA69" s="414"/>
      <c r="AB69" s="414"/>
      <c r="AC69" s="786" t="s">
        <v>154</v>
      </c>
      <c r="AD69" s="787"/>
      <c r="AE69" s="788"/>
      <c r="AF69" s="155" t="s">
        <v>3</v>
      </c>
      <c r="AG69" s="405">
        <f>E5</f>
        <v>13</v>
      </c>
      <c r="AH69" s="159">
        <f>M31</f>
        <v>13</v>
      </c>
      <c r="AI69" s="159">
        <f>E34</f>
        <v>13</v>
      </c>
      <c r="AJ69" s="159">
        <f>J60</f>
        <v>13</v>
      </c>
      <c r="AK69" s="159">
        <f>N45</f>
        <v>13</v>
      </c>
      <c r="AL69" s="159">
        <f>X34</f>
        <v>13</v>
      </c>
      <c r="AM69" s="159">
        <f>V12</f>
        <v>13</v>
      </c>
      <c r="AN69" s="159">
        <f>AB18</f>
        <v>13</v>
      </c>
      <c r="AO69" s="159">
        <f>AH12</f>
        <v>13</v>
      </c>
      <c r="AP69" s="159">
        <f>AD29</f>
        <v>13</v>
      </c>
      <c r="AQ69" s="159">
        <f>AH44</f>
        <v>13</v>
      </c>
      <c r="AR69" s="159">
        <f>AJ33</f>
        <v>13</v>
      </c>
      <c r="AS69" s="428">
        <f>AP60</f>
        <v>13</v>
      </c>
      <c r="AT69" s="415"/>
      <c r="AW69" s="743"/>
      <c r="AX69" s="743"/>
      <c r="AY69" s="743"/>
      <c r="AZ69" s="743"/>
    </row>
    <row r="70" spans="2:52" x14ac:dyDescent="0.25">
      <c r="B70" s="416"/>
      <c r="C70" s="414"/>
      <c r="D70" s="414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414"/>
      <c r="R70" s="414"/>
      <c r="S70" s="414"/>
      <c r="T70" s="414"/>
      <c r="U70" s="414"/>
      <c r="V70" s="414"/>
      <c r="W70" s="414"/>
      <c r="X70" s="414"/>
      <c r="Y70" s="414"/>
      <c r="Z70" s="414"/>
      <c r="AA70" s="414"/>
      <c r="AB70" s="414"/>
      <c r="AC70" s="789" t="s">
        <v>155</v>
      </c>
      <c r="AD70" s="790"/>
      <c r="AE70" s="791"/>
      <c r="AF70" s="151"/>
      <c r="AG70" s="402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429"/>
      <c r="AT70" s="415"/>
      <c r="AW70" s="743"/>
      <c r="AX70" s="743"/>
      <c r="AY70" s="743"/>
      <c r="AZ70" s="743"/>
    </row>
    <row r="71" spans="2:52" ht="18" x14ac:dyDescent="0.25">
      <c r="B71" s="416"/>
      <c r="C71" s="414"/>
      <c r="D71" s="414"/>
      <c r="E71" s="414"/>
      <c r="F71" s="414"/>
      <c r="G71" s="414"/>
      <c r="H71" s="414"/>
      <c r="I71" s="414"/>
      <c r="J71" s="414"/>
      <c r="K71" s="414"/>
      <c r="L71" s="414"/>
      <c r="M71" s="414"/>
      <c r="N71" s="414"/>
      <c r="O71" s="414"/>
      <c r="P71" s="414"/>
      <c r="Q71" s="414"/>
      <c r="R71" s="414"/>
      <c r="S71" s="414"/>
      <c r="T71" s="414"/>
      <c r="U71" s="414"/>
      <c r="V71" s="414"/>
      <c r="W71" s="414"/>
      <c r="X71" s="414"/>
      <c r="Y71" s="414"/>
      <c r="Z71" s="414"/>
      <c r="AA71" s="414"/>
      <c r="AB71" s="414"/>
      <c r="AC71" s="778" t="s">
        <v>156</v>
      </c>
      <c r="AD71" s="727"/>
      <c r="AE71" s="779"/>
      <c r="AF71" s="418" t="s">
        <v>76</v>
      </c>
      <c r="AG71" s="421">
        <f>E4</f>
        <v>114.11894428152492</v>
      </c>
      <c r="AH71" s="422">
        <f>M30</f>
        <v>114.11894428152492</v>
      </c>
      <c r="AI71" s="423">
        <v>0</v>
      </c>
      <c r="AJ71" s="423">
        <v>0</v>
      </c>
      <c r="AK71" s="423">
        <v>0</v>
      </c>
      <c r="AL71" s="422">
        <f>M30</f>
        <v>114.11894428152492</v>
      </c>
      <c r="AM71" s="422">
        <f>V11</f>
        <v>114.11894428152492</v>
      </c>
      <c r="AN71" s="423">
        <v>0</v>
      </c>
      <c r="AO71" s="423">
        <v>0</v>
      </c>
      <c r="AP71" s="423">
        <v>0</v>
      </c>
      <c r="AQ71" s="423">
        <v>0</v>
      </c>
      <c r="AR71" s="423">
        <v>0</v>
      </c>
      <c r="AS71" s="430">
        <v>0</v>
      </c>
      <c r="AT71" s="415"/>
      <c r="AW71" s="743"/>
      <c r="AX71" s="743"/>
      <c r="AY71" s="743"/>
      <c r="AZ71" s="743"/>
    </row>
    <row r="72" spans="2:52" x14ac:dyDescent="0.25">
      <c r="B72" s="416"/>
      <c r="C72" s="414"/>
      <c r="D72" s="414"/>
      <c r="E72" s="414"/>
      <c r="F72" s="414"/>
      <c r="G72" s="414"/>
      <c r="H72" s="414"/>
      <c r="I72" s="414"/>
      <c r="J72" s="414"/>
      <c r="K72" s="414"/>
      <c r="L72" s="414"/>
      <c r="M72" s="414"/>
      <c r="N72" s="414"/>
      <c r="O72" s="414"/>
      <c r="P72" s="414"/>
      <c r="Q72" s="414"/>
      <c r="R72" s="414"/>
      <c r="S72" s="414"/>
      <c r="T72" s="414"/>
      <c r="U72" s="414"/>
      <c r="V72" s="414"/>
      <c r="W72" s="414"/>
      <c r="X72" s="414"/>
      <c r="Y72" s="414"/>
      <c r="Z72" s="414"/>
      <c r="AA72" s="414"/>
      <c r="AB72" s="414"/>
      <c r="AC72" s="772" t="s">
        <v>157</v>
      </c>
      <c r="AD72" s="773"/>
      <c r="AE72" s="774"/>
      <c r="AF72" s="153" t="s">
        <v>76</v>
      </c>
      <c r="AG72" s="403">
        <v>0</v>
      </c>
      <c r="AH72" s="165">
        <v>0</v>
      </c>
      <c r="AI72" s="160">
        <f>(MOISTURE_INITIAL)*E33</f>
        <v>481.84503692090902</v>
      </c>
      <c r="AJ72" s="160">
        <f>(MOISTURE_INITIAL)*J59</f>
        <v>481.84503692090902</v>
      </c>
      <c r="AK72" s="160">
        <f>(MOISTURE_INITIAL)*N44</f>
        <v>481.84503692090902</v>
      </c>
      <c r="AL72" s="160">
        <f>AK72</f>
        <v>481.84503692090902</v>
      </c>
      <c r="AM72" s="165">
        <v>0</v>
      </c>
      <c r="AN72" s="160">
        <f>(MOISTURE_INITIAL)*AB17</f>
        <v>481.84503692090902</v>
      </c>
      <c r="AO72" s="160">
        <f>AH11</f>
        <v>471.5024035526572</v>
      </c>
      <c r="AP72" s="420">
        <f>AD28*MOISTURE_FINAL</f>
        <v>10.342633368251834</v>
      </c>
      <c r="AQ72" s="163">
        <f>DF_SIFT*AP72</f>
        <v>3.1027900104755499</v>
      </c>
      <c r="AR72" s="163">
        <f>AJ32*MOISTURE_FINAL</f>
        <v>7.2398433577762829</v>
      </c>
      <c r="AS72" s="431">
        <f>AR72</f>
        <v>7.2398433577762829</v>
      </c>
      <c r="AT72" s="415"/>
      <c r="AW72" s="743"/>
      <c r="AX72" s="743"/>
      <c r="AY72" s="743"/>
      <c r="AZ72" s="743"/>
    </row>
    <row r="73" spans="2:52" x14ac:dyDescent="0.25">
      <c r="B73" s="416"/>
      <c r="C73" s="414"/>
      <c r="D73" s="414"/>
      <c r="E73" s="414"/>
      <c r="F73" s="414"/>
      <c r="G73" s="414"/>
      <c r="H73" s="414"/>
      <c r="I73" s="414"/>
      <c r="J73" s="414"/>
      <c r="K73" s="414"/>
      <c r="L73" s="414"/>
      <c r="M73" s="414"/>
      <c r="N73" s="414"/>
      <c r="O73" s="414"/>
      <c r="P73" s="414"/>
      <c r="Q73" s="414"/>
      <c r="R73" s="414"/>
      <c r="S73" s="414"/>
      <c r="T73" s="414"/>
      <c r="U73" s="414"/>
      <c r="V73" s="414"/>
      <c r="W73" s="414"/>
      <c r="X73" s="414"/>
      <c r="Y73" s="414"/>
      <c r="Z73" s="414"/>
      <c r="AA73" s="414"/>
      <c r="AB73" s="414"/>
      <c r="AC73" s="772" t="s">
        <v>158</v>
      </c>
      <c r="AD73" s="773"/>
      <c r="AE73" s="774"/>
      <c r="AF73" s="153" t="s">
        <v>76</v>
      </c>
      <c r="AG73" s="403">
        <v>0</v>
      </c>
      <c r="AH73" s="165">
        <v>0</v>
      </c>
      <c r="AI73" s="160">
        <f>(1-MOISTURE_INITIAL)*E33</f>
        <v>248.22320083804402</v>
      </c>
      <c r="AJ73" s="160">
        <f>(1-MOISTURE_INITIAL)*J59</f>
        <v>248.22320083804402</v>
      </c>
      <c r="AK73" s="160">
        <f>(1-MOISTURE_INITIAL)*N44</f>
        <v>248.22320083804402</v>
      </c>
      <c r="AL73" s="160">
        <f>AK73</f>
        <v>248.22320083804402</v>
      </c>
      <c r="AM73" s="165">
        <v>0</v>
      </c>
      <c r="AN73" s="160">
        <f>(1-MOISTURE_INITIAL)*AB17</f>
        <v>248.22320083804402</v>
      </c>
      <c r="AO73" s="423">
        <v>0</v>
      </c>
      <c r="AP73" s="160">
        <f>AD28*(1-MOISTURE_FINAL)</f>
        <v>248.22320083804399</v>
      </c>
      <c r="AQ73" s="420">
        <f>DF_SIFT*AP73</f>
        <v>74.466960251413198</v>
      </c>
      <c r="AR73" s="160">
        <f>AJ32*(1-MOISTURE_FINAL)</f>
        <v>173.75624058663078</v>
      </c>
      <c r="AS73" s="432">
        <f>AR73</f>
        <v>173.75624058663078</v>
      </c>
      <c r="AT73" s="415"/>
      <c r="AW73" s="743"/>
      <c r="AX73" s="743"/>
      <c r="AY73" s="743"/>
      <c r="AZ73" s="743"/>
    </row>
    <row r="74" spans="2:52" ht="15.75" thickBot="1" x14ac:dyDescent="0.3">
      <c r="B74" s="416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775" t="s">
        <v>159</v>
      </c>
      <c r="AD74" s="776"/>
      <c r="AE74" s="777"/>
      <c r="AF74" s="417" t="s">
        <v>76</v>
      </c>
      <c r="AG74" s="404">
        <f>SUM(AG71:AG73)</f>
        <v>114.11894428152492</v>
      </c>
      <c r="AH74" s="161">
        <f t="shared" ref="AH74:AS74" si="2">SUM(AH71:AH73)</f>
        <v>114.11894428152492</v>
      </c>
      <c r="AI74" s="161">
        <f t="shared" si="2"/>
        <v>730.06823775895305</v>
      </c>
      <c r="AJ74" s="161">
        <f t="shared" si="2"/>
        <v>730.06823775895305</v>
      </c>
      <c r="AK74" s="161">
        <f t="shared" si="2"/>
        <v>730.06823775895305</v>
      </c>
      <c r="AL74" s="161">
        <f t="shared" si="2"/>
        <v>844.18718204047798</v>
      </c>
      <c r="AM74" s="161">
        <f t="shared" si="2"/>
        <v>114.11894428152492</v>
      </c>
      <c r="AN74" s="161">
        <f t="shared" si="2"/>
        <v>730.06823775895305</v>
      </c>
      <c r="AO74" s="161">
        <f t="shared" si="2"/>
        <v>471.5024035526572</v>
      </c>
      <c r="AP74" s="161">
        <f t="shared" si="2"/>
        <v>258.56583420629585</v>
      </c>
      <c r="AQ74" s="433">
        <f t="shared" si="2"/>
        <v>77.569750261888743</v>
      </c>
      <c r="AR74" s="161">
        <f t="shared" si="2"/>
        <v>180.99608394440708</v>
      </c>
      <c r="AS74" s="162">
        <f t="shared" si="2"/>
        <v>180.99608394440708</v>
      </c>
      <c r="AT74" s="415"/>
      <c r="AW74" s="743"/>
      <c r="AX74" s="743"/>
      <c r="AY74" s="743"/>
      <c r="AZ74" s="743"/>
    </row>
    <row r="75" spans="2:52" x14ac:dyDescent="0.25">
      <c r="B75" s="416"/>
      <c r="C75" s="414"/>
      <c r="D75" s="414"/>
      <c r="E75" s="414"/>
      <c r="F75" s="414"/>
      <c r="G75" s="414"/>
      <c r="H75" s="414"/>
      <c r="I75" s="414"/>
      <c r="J75" s="414"/>
      <c r="K75" s="414"/>
      <c r="L75" s="414"/>
      <c r="M75" s="414"/>
      <c r="N75" s="414"/>
      <c r="O75" s="414"/>
      <c r="P75" s="414"/>
      <c r="Q75" s="414"/>
      <c r="R75" s="414"/>
      <c r="S75" s="414"/>
      <c r="T75" s="414"/>
      <c r="U75" s="414"/>
      <c r="V75" s="414"/>
      <c r="W75" s="414"/>
      <c r="X75" s="414"/>
      <c r="Y75" s="414"/>
      <c r="Z75" s="414"/>
      <c r="AA75" s="414"/>
      <c r="AB75" s="414"/>
      <c r="AC75" s="414"/>
      <c r="AD75" s="414"/>
      <c r="AE75" s="414"/>
      <c r="AF75" s="414"/>
      <c r="AG75" s="414"/>
      <c r="AH75" s="414"/>
      <c r="AI75" s="414"/>
      <c r="AJ75" s="414"/>
      <c r="AK75" s="414"/>
      <c r="AL75" s="414"/>
      <c r="AM75" s="414"/>
      <c r="AN75" s="414"/>
      <c r="AO75" s="414"/>
      <c r="AP75" s="414"/>
      <c r="AQ75" s="414"/>
      <c r="AR75" s="414"/>
      <c r="AS75" s="414"/>
      <c r="AT75" s="415"/>
      <c r="AW75" s="743"/>
      <c r="AX75" s="743"/>
      <c r="AY75" s="743"/>
      <c r="AZ75" s="743"/>
    </row>
    <row r="76" spans="2:52" ht="15.75" thickBot="1" x14ac:dyDescent="0.3">
      <c r="B76" s="438"/>
      <c r="C76" s="439"/>
      <c r="D76" s="439"/>
      <c r="E76" s="439"/>
      <c r="F76" s="439"/>
      <c r="G76" s="439"/>
      <c r="H76" s="439"/>
      <c r="I76" s="439"/>
      <c r="J76" s="439"/>
      <c r="K76" s="439"/>
      <c r="L76" s="439"/>
      <c r="M76" s="439"/>
      <c r="N76" s="439"/>
      <c r="O76" s="439"/>
      <c r="P76" s="439"/>
      <c r="Q76" s="439"/>
      <c r="R76" s="439"/>
      <c r="S76" s="439"/>
      <c r="T76" s="439"/>
      <c r="U76" s="767"/>
      <c r="V76" s="767"/>
      <c r="W76" s="767"/>
      <c r="X76" s="440"/>
      <c r="Y76" s="417"/>
      <c r="Z76" s="439"/>
      <c r="AA76" s="439"/>
      <c r="AB76" s="439"/>
      <c r="AC76" s="439"/>
      <c r="AD76" s="439"/>
      <c r="AE76" s="439"/>
      <c r="AF76" s="439"/>
      <c r="AG76" s="439"/>
      <c r="AH76" s="439"/>
      <c r="AI76" s="439"/>
      <c r="AJ76" s="439"/>
      <c r="AK76" s="439"/>
      <c r="AL76" s="439"/>
      <c r="AM76" s="439"/>
      <c r="AN76" s="439"/>
      <c r="AO76" s="439"/>
      <c r="AP76" s="439"/>
      <c r="AQ76" s="439"/>
      <c r="AR76" s="439"/>
      <c r="AS76" s="439"/>
      <c r="AT76" s="441"/>
      <c r="AW76" s="743"/>
      <c r="AX76" s="743"/>
      <c r="AY76" s="743"/>
      <c r="AZ76" s="743"/>
    </row>
    <row r="77" spans="2:52" x14ac:dyDescent="0.25">
      <c r="U77" s="768"/>
      <c r="V77" s="768"/>
      <c r="W77" s="768"/>
      <c r="X77" s="443"/>
      <c r="Y77" s="444"/>
      <c r="AW77" s="743"/>
      <c r="AX77" s="743"/>
      <c r="AY77" s="743"/>
      <c r="AZ77" s="743"/>
    </row>
    <row r="78" spans="2:52" x14ac:dyDescent="0.25">
      <c r="AW78" s="743"/>
      <c r="AX78" s="743"/>
      <c r="AY78" s="743"/>
      <c r="AZ78" s="743"/>
    </row>
    <row r="79" spans="2:52" x14ac:dyDescent="0.25">
      <c r="AW79" s="743"/>
      <c r="AX79" s="743"/>
      <c r="AY79" s="743"/>
      <c r="AZ79" s="743"/>
    </row>
    <row r="80" spans="2:52" x14ac:dyDescent="0.25">
      <c r="AW80" s="743"/>
      <c r="AX80" s="743"/>
      <c r="AY80" s="743"/>
      <c r="AZ80" s="743"/>
    </row>
    <row r="81" spans="49:52" x14ac:dyDescent="0.25">
      <c r="AW81" s="743"/>
      <c r="AX81" s="743"/>
      <c r="AY81" s="743"/>
      <c r="AZ81" s="743"/>
    </row>
    <row r="82" spans="49:52" x14ac:dyDescent="0.25">
      <c r="AW82" s="743"/>
      <c r="AX82" s="743"/>
      <c r="AY82" s="743"/>
      <c r="AZ82" s="743"/>
    </row>
    <row r="83" spans="49:52" x14ac:dyDescent="0.25">
      <c r="AW83" s="485"/>
      <c r="AX83" s="485"/>
      <c r="AY83" s="485"/>
      <c r="AZ83" s="485"/>
    </row>
    <row r="84" spans="49:52" x14ac:dyDescent="0.25">
      <c r="AW84" s="485"/>
      <c r="AX84" s="485"/>
      <c r="AY84" s="485"/>
      <c r="AZ84" s="485"/>
    </row>
    <row r="85" spans="49:52" x14ac:dyDescent="0.25">
      <c r="AW85" s="485"/>
      <c r="AX85" s="485"/>
      <c r="AY85" s="485"/>
      <c r="AZ85" s="485"/>
    </row>
    <row r="86" spans="49:52" x14ac:dyDescent="0.25">
      <c r="AW86" s="485"/>
      <c r="AX86" s="485"/>
      <c r="AY86" s="485"/>
      <c r="AZ86" s="485"/>
    </row>
    <row r="87" spans="49:52" x14ac:dyDescent="0.25">
      <c r="AW87" s="485"/>
      <c r="AX87" s="485"/>
      <c r="AY87" s="485"/>
      <c r="AZ87" s="485"/>
    </row>
    <row r="88" spans="49:52" x14ac:dyDescent="0.25">
      <c r="AW88" s="485"/>
      <c r="AX88" s="485"/>
      <c r="AY88" s="485"/>
      <c r="AZ88" s="485"/>
    </row>
    <row r="89" spans="49:52" x14ac:dyDescent="0.25">
      <c r="AW89" s="485"/>
      <c r="AX89" s="485"/>
      <c r="AY89" s="485"/>
      <c r="AZ89" s="485"/>
    </row>
    <row r="90" spans="49:52" x14ac:dyDescent="0.25">
      <c r="AW90" s="485"/>
      <c r="AX90" s="485"/>
      <c r="AY90" s="485"/>
      <c r="AZ90" s="485"/>
    </row>
    <row r="91" spans="49:52" x14ac:dyDescent="0.25">
      <c r="AW91" s="485"/>
      <c r="AX91" s="485"/>
      <c r="AY91" s="485"/>
      <c r="AZ91" s="485"/>
    </row>
    <row r="92" spans="49:52" x14ac:dyDescent="0.25">
      <c r="AW92" s="485"/>
      <c r="AX92" s="485"/>
      <c r="AY92" s="485"/>
      <c r="AZ92" s="485"/>
    </row>
    <row r="93" spans="49:52" x14ac:dyDescent="0.25">
      <c r="AW93" s="485"/>
      <c r="AX93" s="485"/>
      <c r="AY93" s="485"/>
      <c r="AZ93" s="485"/>
    </row>
    <row r="94" spans="49:52" x14ac:dyDescent="0.25">
      <c r="AW94" s="485"/>
      <c r="AX94" s="485"/>
      <c r="AY94" s="485"/>
      <c r="AZ94" s="485"/>
    </row>
    <row r="95" spans="49:52" x14ac:dyDescent="0.25">
      <c r="AW95" s="485"/>
      <c r="AX95" s="485"/>
      <c r="AY95" s="485"/>
      <c r="AZ95" s="485"/>
    </row>
    <row r="96" spans="49:52" x14ac:dyDescent="0.25">
      <c r="AW96" s="485"/>
      <c r="AX96" s="485"/>
      <c r="AY96" s="485"/>
      <c r="AZ96" s="485"/>
    </row>
    <row r="97" spans="49:52" x14ac:dyDescent="0.25">
      <c r="AW97" s="485"/>
      <c r="AX97" s="485"/>
      <c r="AY97" s="485"/>
      <c r="AZ97" s="485"/>
    </row>
    <row r="98" spans="49:52" x14ac:dyDescent="0.25">
      <c r="AW98" s="485"/>
      <c r="AX98" s="485"/>
      <c r="AY98" s="485"/>
      <c r="AZ98" s="485"/>
    </row>
    <row r="99" spans="49:52" x14ac:dyDescent="0.25">
      <c r="AW99" s="485"/>
      <c r="AX99" s="485"/>
      <c r="AY99" s="485"/>
      <c r="AZ99" s="485"/>
    </row>
    <row r="100" spans="49:52" x14ac:dyDescent="0.25">
      <c r="AW100" s="485"/>
      <c r="AX100" s="485"/>
      <c r="AY100" s="485"/>
      <c r="AZ100" s="485"/>
    </row>
    <row r="101" spans="49:52" x14ac:dyDescent="0.25">
      <c r="AW101" s="485"/>
      <c r="AX101" s="485"/>
      <c r="AY101" s="485"/>
      <c r="AZ101" s="485"/>
    </row>
    <row r="102" spans="49:52" x14ac:dyDescent="0.25">
      <c r="AW102" s="485"/>
      <c r="AX102" s="485"/>
      <c r="AY102" s="485"/>
      <c r="AZ102" s="485"/>
    </row>
    <row r="103" spans="49:52" x14ac:dyDescent="0.25">
      <c r="AW103" s="485"/>
      <c r="AX103" s="485"/>
      <c r="AY103" s="485"/>
      <c r="AZ103" s="485"/>
    </row>
    <row r="104" spans="49:52" x14ac:dyDescent="0.25">
      <c r="AW104" s="485"/>
      <c r="AX104" s="485"/>
      <c r="AY104" s="485"/>
      <c r="AZ104" s="485"/>
    </row>
    <row r="105" spans="49:52" x14ac:dyDescent="0.25">
      <c r="AW105" s="485"/>
      <c r="AX105" s="485"/>
      <c r="AY105" s="485"/>
      <c r="AZ105" s="485"/>
    </row>
    <row r="106" spans="49:52" x14ac:dyDescent="0.25">
      <c r="AW106" s="485"/>
      <c r="AX106" s="485"/>
      <c r="AY106" s="485"/>
      <c r="AZ106" s="485"/>
    </row>
    <row r="107" spans="49:52" x14ac:dyDescent="0.25">
      <c r="AW107" s="485"/>
      <c r="AX107" s="485"/>
      <c r="AY107" s="485"/>
      <c r="AZ107" s="485"/>
    </row>
    <row r="108" spans="49:52" x14ac:dyDescent="0.25">
      <c r="AW108" s="485"/>
      <c r="AX108" s="485"/>
      <c r="AY108" s="485"/>
      <c r="AZ108" s="485"/>
    </row>
    <row r="109" spans="49:52" x14ac:dyDescent="0.25">
      <c r="AW109" s="485"/>
      <c r="AX109" s="485"/>
      <c r="AY109" s="485"/>
      <c r="AZ109" s="485"/>
    </row>
    <row r="110" spans="49:52" x14ac:dyDescent="0.25">
      <c r="AW110" s="485"/>
      <c r="AX110" s="485"/>
      <c r="AY110" s="485"/>
      <c r="AZ110" s="485"/>
    </row>
    <row r="111" spans="49:52" x14ac:dyDescent="0.25">
      <c r="AW111" s="485"/>
      <c r="AX111" s="485"/>
      <c r="AY111" s="485"/>
      <c r="AZ111" s="485"/>
    </row>
    <row r="112" spans="49:52" x14ac:dyDescent="0.25">
      <c r="AW112" s="485"/>
      <c r="AX112" s="485"/>
      <c r="AY112" s="485"/>
      <c r="AZ112" s="485"/>
    </row>
    <row r="113" spans="49:52" x14ac:dyDescent="0.25">
      <c r="AW113" s="485"/>
      <c r="AX113" s="485"/>
      <c r="AY113" s="485"/>
      <c r="AZ113" s="485"/>
    </row>
    <row r="114" spans="49:52" x14ac:dyDescent="0.25">
      <c r="AW114" s="485"/>
      <c r="AX114" s="485"/>
      <c r="AY114" s="485"/>
      <c r="AZ114" s="485"/>
    </row>
    <row r="115" spans="49:52" x14ac:dyDescent="0.25">
      <c r="AW115" s="485"/>
      <c r="AX115" s="485"/>
      <c r="AY115" s="485"/>
      <c r="AZ115" s="485"/>
    </row>
    <row r="116" spans="49:52" x14ac:dyDescent="0.25">
      <c r="AW116" s="485"/>
      <c r="AX116" s="485"/>
      <c r="AY116" s="485"/>
      <c r="AZ116" s="485"/>
    </row>
    <row r="117" spans="49:52" x14ac:dyDescent="0.25">
      <c r="AW117" s="485"/>
      <c r="AX117" s="485"/>
      <c r="AY117" s="485"/>
      <c r="AZ117" s="485"/>
    </row>
    <row r="118" spans="49:52" x14ac:dyDescent="0.25">
      <c r="AW118" s="485"/>
      <c r="AX118" s="485"/>
      <c r="AY118" s="485"/>
      <c r="AZ118" s="485"/>
    </row>
    <row r="119" spans="49:52" x14ac:dyDescent="0.25">
      <c r="AW119" s="485"/>
      <c r="AX119" s="485"/>
      <c r="AY119" s="485"/>
      <c r="AZ119" s="485"/>
    </row>
    <row r="120" spans="49:52" x14ac:dyDescent="0.25">
      <c r="AW120" s="485"/>
      <c r="AX120" s="485"/>
      <c r="AY120" s="485"/>
      <c r="AZ120" s="485"/>
    </row>
  </sheetData>
  <mergeCells count="132">
    <mergeCell ref="AH14:AI14"/>
    <mergeCell ref="M61:Q61"/>
    <mergeCell ref="M62:O62"/>
    <mergeCell ref="AI21:AM21"/>
    <mergeCell ref="AI22:AK22"/>
    <mergeCell ref="AI23:AK23"/>
    <mergeCell ref="AI24:AK24"/>
    <mergeCell ref="AB20:AC20"/>
    <mergeCell ref="AJ35:AK35"/>
    <mergeCell ref="AH46:AI46"/>
    <mergeCell ref="AD31:AE31"/>
    <mergeCell ref="W27:AA27"/>
    <mergeCell ref="W28:Y28"/>
    <mergeCell ref="W29:Y29"/>
    <mergeCell ref="W30:Y30"/>
    <mergeCell ref="V66:Y66"/>
    <mergeCell ref="Y45:AC45"/>
    <mergeCell ref="Y46:AA46"/>
    <mergeCell ref="Y47:AA47"/>
    <mergeCell ref="Y48:AA48"/>
    <mergeCell ref="AB46:AC46"/>
    <mergeCell ref="E7:F7"/>
    <mergeCell ref="M33:N33"/>
    <mergeCell ref="V14:W14"/>
    <mergeCell ref="X36:Y36"/>
    <mergeCell ref="E36:F36"/>
    <mergeCell ref="J62:K62"/>
    <mergeCell ref="AW56:AZ56"/>
    <mergeCell ref="AW47:AZ47"/>
    <mergeCell ref="AW48:AZ48"/>
    <mergeCell ref="AW49:AZ49"/>
    <mergeCell ref="AW51:AZ51"/>
    <mergeCell ref="AW52:AZ52"/>
    <mergeCell ref="M64:O64"/>
    <mergeCell ref="U76:W76"/>
    <mergeCell ref="U77:W77"/>
    <mergeCell ref="M63:O63"/>
    <mergeCell ref="AC73:AE73"/>
    <mergeCell ref="AC74:AE74"/>
    <mergeCell ref="AC71:AE71"/>
    <mergeCell ref="AC64:AS64"/>
    <mergeCell ref="AC67:AE67"/>
    <mergeCell ref="AC68:AE68"/>
    <mergeCell ref="AC69:AE69"/>
    <mergeCell ref="AC70:AE70"/>
    <mergeCell ref="AC72:AE72"/>
    <mergeCell ref="AP62:AQ62"/>
    <mergeCell ref="N47:O47"/>
    <mergeCell ref="V67:Y67"/>
    <mergeCell ref="V64:AA64"/>
    <mergeCell ref="V65:Y65"/>
    <mergeCell ref="AW6:AZ6"/>
    <mergeCell ref="AW7:AZ7"/>
    <mergeCell ref="AW8:AZ8"/>
    <mergeCell ref="AW9:AZ9"/>
    <mergeCell ref="AW10:AZ10"/>
    <mergeCell ref="AW11:AZ11"/>
    <mergeCell ref="AW54:AZ54"/>
    <mergeCell ref="AW55:AZ55"/>
    <mergeCell ref="AW34:AZ34"/>
    <mergeCell ref="AW35:AZ35"/>
    <mergeCell ref="AW24:AZ24"/>
    <mergeCell ref="AW25:AZ25"/>
    <mergeCell ref="AW26:AZ26"/>
    <mergeCell ref="AW27:AZ27"/>
    <mergeCell ref="AW28:AZ28"/>
    <mergeCell ref="AW29:AZ29"/>
    <mergeCell ref="AW12:AZ12"/>
    <mergeCell ref="AW13:AZ13"/>
    <mergeCell ref="AW14:AZ14"/>
    <mergeCell ref="AW15:AZ15"/>
    <mergeCell ref="AW78:AZ78"/>
    <mergeCell ref="AW58:AZ58"/>
    <mergeCell ref="AW59:AZ59"/>
    <mergeCell ref="AW79:AZ79"/>
    <mergeCell ref="AW80:AZ80"/>
    <mergeCell ref="AW81:AZ81"/>
    <mergeCell ref="AW82:AZ82"/>
    <mergeCell ref="AW76:AZ76"/>
    <mergeCell ref="AW77:AZ77"/>
    <mergeCell ref="AW62:AZ62"/>
    <mergeCell ref="AW63:AZ63"/>
    <mergeCell ref="AW64:AZ64"/>
    <mergeCell ref="AW65:AZ65"/>
    <mergeCell ref="AW4:BF4"/>
    <mergeCell ref="AW19:BF19"/>
    <mergeCell ref="AW33:BF33"/>
    <mergeCell ref="BB35:BC35"/>
    <mergeCell ref="BD35:BE35"/>
    <mergeCell ref="AW72:AZ72"/>
    <mergeCell ref="AW73:AZ73"/>
    <mergeCell ref="AW74:AZ74"/>
    <mergeCell ref="AW75:AZ75"/>
    <mergeCell ref="AW66:AZ66"/>
    <mergeCell ref="AW67:AZ67"/>
    <mergeCell ref="AW68:AZ68"/>
    <mergeCell ref="AW69:AZ69"/>
    <mergeCell ref="AW70:AZ70"/>
    <mergeCell ref="AW71:AZ71"/>
    <mergeCell ref="AW60:AZ60"/>
    <mergeCell ref="AW61:AZ61"/>
    <mergeCell ref="AW57:AZ57"/>
    <mergeCell ref="AW53:AZ53"/>
    <mergeCell ref="AW50:AZ50"/>
    <mergeCell ref="AW20:AZ20"/>
    <mergeCell ref="AW21:AZ21"/>
    <mergeCell ref="AW22:AZ22"/>
    <mergeCell ref="AW23:AZ23"/>
    <mergeCell ref="AV2:BG2"/>
    <mergeCell ref="BD48:BE48"/>
    <mergeCell ref="BD47:BE47"/>
    <mergeCell ref="BD45:BE45"/>
    <mergeCell ref="BD46:BE46"/>
    <mergeCell ref="BD44:BE44"/>
    <mergeCell ref="BB48:BC48"/>
    <mergeCell ref="BB47:BC47"/>
    <mergeCell ref="BB46:BC46"/>
    <mergeCell ref="BB45:BC45"/>
    <mergeCell ref="BB44:BC44"/>
    <mergeCell ref="BB36:BC42"/>
    <mergeCell ref="BD36:BE42"/>
    <mergeCell ref="AW43:AZ43"/>
    <mergeCell ref="AW44:AZ44"/>
    <mergeCell ref="AW45:AZ45"/>
    <mergeCell ref="AW46:AZ46"/>
    <mergeCell ref="AW36:BA42"/>
    <mergeCell ref="AW30:AZ30"/>
    <mergeCell ref="AW31:AZ31"/>
    <mergeCell ref="AW32:AZ32"/>
    <mergeCell ref="AW16:AZ16"/>
    <mergeCell ref="AW17:AZ17"/>
    <mergeCell ref="AW18:AZ18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A915-FB25-406D-BCD4-0EE20F3F0B39}">
  <sheetPr codeName="Hoja3"/>
  <dimension ref="B1:BH173"/>
  <sheetViews>
    <sheetView showGridLines="0" tabSelected="1" topLeftCell="A34" zoomScaleNormal="100" workbookViewId="0">
      <selection activeCell="O42" sqref="O42"/>
    </sheetView>
  </sheetViews>
  <sheetFormatPr baseColWidth="10" defaultColWidth="11.42578125" defaultRowHeight="15" x14ac:dyDescent="0.25"/>
  <cols>
    <col min="1" max="1" width="5.42578125" style="143" customWidth="1"/>
    <col min="2" max="2" width="6" style="143" customWidth="1"/>
    <col min="3" max="4" width="11.42578125" style="143"/>
    <col min="5" max="5" width="12.42578125" style="143" bestFit="1" customWidth="1"/>
    <col min="6" max="14" width="11.42578125" style="143"/>
    <col min="15" max="16" width="12.42578125" style="143" bestFit="1" customWidth="1"/>
    <col min="17" max="26" width="11.42578125" style="143"/>
    <col min="27" max="27" width="11.42578125" style="143" customWidth="1"/>
    <col min="28" max="41" width="11.42578125" style="143"/>
    <col min="42" max="42" width="12.140625" style="143" customWidth="1"/>
    <col min="43" max="43" width="11.42578125" style="143"/>
    <col min="44" max="45" width="6" style="143" customWidth="1"/>
    <col min="46" max="46" width="4.5703125" style="143" customWidth="1"/>
    <col min="47" max="51" width="11.42578125" style="143"/>
    <col min="52" max="52" width="14.28515625" style="143" bestFit="1" customWidth="1"/>
    <col min="53" max="54" width="14.140625" style="143" bestFit="1" customWidth="1"/>
    <col min="55" max="55" width="3.85546875" style="143" customWidth="1"/>
    <col min="56" max="59" width="11.42578125" style="143"/>
    <col min="60" max="60" width="3" style="143" customWidth="1"/>
    <col min="61" max="16384" width="11.42578125" style="143"/>
  </cols>
  <sheetData>
    <row r="1" spans="2:60" ht="15.75" thickBot="1" x14ac:dyDescent="0.3"/>
    <row r="2" spans="2:60" ht="15.75" thickBot="1" x14ac:dyDescent="0.3">
      <c r="B2" s="133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5"/>
      <c r="AT2" s="874" t="s">
        <v>74</v>
      </c>
      <c r="AU2" s="875"/>
      <c r="AV2" s="875"/>
      <c r="AW2" s="875"/>
      <c r="AX2" s="875"/>
      <c r="AY2" s="875"/>
      <c r="AZ2" s="875"/>
      <c r="BA2" s="875"/>
      <c r="BB2" s="875"/>
      <c r="BC2" s="875"/>
      <c r="BD2" s="875"/>
      <c r="BE2" s="875"/>
      <c r="BF2" s="875"/>
      <c r="BG2" s="875"/>
      <c r="BH2" s="876"/>
    </row>
    <row r="3" spans="2:60" ht="15.75" thickBot="1" x14ac:dyDescent="0.3">
      <c r="B3" s="136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8"/>
      <c r="AT3" s="133"/>
      <c r="AU3" s="134"/>
      <c r="AV3" s="134"/>
      <c r="AW3" s="134"/>
      <c r="AX3" s="134"/>
      <c r="AY3" s="134"/>
      <c r="AZ3" s="145"/>
      <c r="BA3" s="145"/>
      <c r="BB3" s="145"/>
      <c r="BC3" s="134"/>
      <c r="BD3" s="134"/>
      <c r="BE3" s="134"/>
      <c r="BF3" s="134"/>
      <c r="BG3" s="134"/>
      <c r="BH3" s="135"/>
    </row>
    <row r="4" spans="2:60" ht="15.75" thickBot="1" x14ac:dyDescent="0.3">
      <c r="B4" s="136"/>
      <c r="C4" s="137"/>
      <c r="D4" s="115" t="s">
        <v>75</v>
      </c>
      <c r="E4" s="167">
        <f>AP44</f>
        <v>1.5075068570632852</v>
      </c>
      <c r="F4" s="103" t="s">
        <v>73</v>
      </c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15" t="s">
        <v>75</v>
      </c>
      <c r="U4" s="106">
        <f>AJ22-AP44-AP46</f>
        <v>149.24317884926523</v>
      </c>
      <c r="V4" s="103" t="s">
        <v>73</v>
      </c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8"/>
      <c r="AT4" s="136"/>
      <c r="AU4" s="826" t="s">
        <v>160</v>
      </c>
      <c r="AV4" s="827"/>
      <c r="AW4" s="827"/>
      <c r="AX4" s="827"/>
      <c r="AY4" s="827"/>
      <c r="AZ4" s="827"/>
      <c r="BA4" s="827"/>
      <c r="BB4" s="827"/>
      <c r="BC4" s="827"/>
      <c r="BD4" s="827"/>
      <c r="BE4" s="827"/>
      <c r="BF4" s="827"/>
      <c r="BG4" s="828"/>
      <c r="BH4" s="138"/>
    </row>
    <row r="5" spans="2:60" ht="15.75" thickBot="1" x14ac:dyDescent="0.3">
      <c r="B5" s="136"/>
      <c r="C5" s="137"/>
      <c r="D5" s="114" t="s">
        <v>19</v>
      </c>
      <c r="E5" s="104">
        <v>863</v>
      </c>
      <c r="F5" s="97" t="s">
        <v>3</v>
      </c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14" t="s">
        <v>19</v>
      </c>
      <c r="U5" s="104">
        <f>AJ23</f>
        <v>863</v>
      </c>
      <c r="V5" s="97" t="s">
        <v>3</v>
      </c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8"/>
      <c r="AT5" s="136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8"/>
    </row>
    <row r="6" spans="2:60" ht="15.75" thickBot="1" x14ac:dyDescent="0.3">
      <c r="B6" s="136"/>
      <c r="C6" s="137"/>
      <c r="D6" s="114" t="s">
        <v>78</v>
      </c>
      <c r="E6" s="102">
        <f>AMBIENT_TEMP</f>
        <v>25</v>
      </c>
      <c r="F6" s="97" t="s">
        <v>6</v>
      </c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14" t="s">
        <v>78</v>
      </c>
      <c r="U6" s="102">
        <f>AJ24</f>
        <v>35</v>
      </c>
      <c r="V6" s="97" t="s">
        <v>6</v>
      </c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8"/>
      <c r="AT6" s="136"/>
      <c r="AU6" s="137"/>
      <c r="AV6" s="137"/>
      <c r="AW6" s="137"/>
      <c r="AX6" s="137"/>
      <c r="AY6" s="137"/>
      <c r="AZ6" s="237" t="s">
        <v>161</v>
      </c>
      <c r="BA6" s="238" t="s">
        <v>162</v>
      </c>
      <c r="BB6" s="239" t="s">
        <v>163</v>
      </c>
      <c r="BC6" s="137"/>
      <c r="BD6" s="137"/>
      <c r="BE6" s="137"/>
      <c r="BF6" s="137"/>
      <c r="BG6" s="137"/>
      <c r="BH6" s="138"/>
    </row>
    <row r="7" spans="2:60" ht="16.5" x14ac:dyDescent="0.25">
      <c r="B7" s="136"/>
      <c r="C7" s="137"/>
      <c r="D7" s="114" t="s">
        <v>164</v>
      </c>
      <c r="E7" s="100" cm="1">
        <f t="array" ref="E7">DENSITY_ISOBAR(E6+273.15,CONVERT(E5,"psi","kPa"))</f>
        <v>186.51949948885436</v>
      </c>
      <c r="F7" s="97" t="s">
        <v>165</v>
      </c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14" t="s">
        <v>164</v>
      </c>
      <c r="U7" s="100" cm="1">
        <f t="array" ref="U7">DENSITY_ISOBAR(U6+273.15,CONVERT(U5,"psi","kPa"))</f>
        <v>156.42835468421106</v>
      </c>
      <c r="V7" s="97" t="s">
        <v>165</v>
      </c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8"/>
      <c r="AT7" s="136"/>
      <c r="AU7" s="888" t="s">
        <v>166</v>
      </c>
      <c r="AV7" s="889"/>
      <c r="AW7" s="889"/>
      <c r="AX7" s="890"/>
      <c r="AY7" s="224" t="s">
        <v>167</v>
      </c>
      <c r="AZ7" s="216">
        <f>AZ13/AZ11</f>
        <v>48.263301052178527</v>
      </c>
      <c r="BA7" s="209">
        <f t="shared" ref="BA7:BB7" si="0">BA13/BA11</f>
        <v>48.263301052178527</v>
      </c>
      <c r="BB7" s="210">
        <f t="shared" si="0"/>
        <v>48.263301052178527</v>
      </c>
      <c r="BC7" s="137"/>
      <c r="BD7" s="137"/>
      <c r="BE7" s="137"/>
      <c r="BF7" s="137"/>
      <c r="BG7" s="137"/>
      <c r="BH7" s="138"/>
    </row>
    <row r="8" spans="2:60" x14ac:dyDescent="0.25">
      <c r="B8" s="136"/>
      <c r="C8" s="137"/>
      <c r="D8" s="114" t="s">
        <v>168</v>
      </c>
      <c r="E8" s="100" cm="1">
        <f t="array" ref="E8">HENTALPY(E6+273.15,E7)</f>
        <v>-88.809701646799027</v>
      </c>
      <c r="F8" s="97" t="s">
        <v>169</v>
      </c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14" t="s">
        <v>168</v>
      </c>
      <c r="U8" s="100" cm="1">
        <f t="array" ref="U8">HENTALPY(U6+273.15,U7)</f>
        <v>-63.781437874857779</v>
      </c>
      <c r="V8" s="97" t="s">
        <v>169</v>
      </c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8"/>
      <c r="AT8" s="136"/>
      <c r="AU8" s="880" t="s">
        <v>170</v>
      </c>
      <c r="AV8" s="881"/>
      <c r="AW8" s="881"/>
      <c r="AX8" s="882"/>
      <c r="AY8" s="227" t="s">
        <v>171</v>
      </c>
      <c r="AZ8" s="228">
        <v>373.15</v>
      </c>
      <c r="BA8" s="229">
        <v>373.15</v>
      </c>
      <c r="BB8" s="230">
        <v>373.15</v>
      </c>
      <c r="BC8" s="137"/>
      <c r="BD8" s="137"/>
      <c r="BE8" s="137"/>
      <c r="BF8" s="137"/>
      <c r="BG8" s="137"/>
      <c r="BH8" s="138"/>
    </row>
    <row r="9" spans="2:60" x14ac:dyDescent="0.25">
      <c r="B9" s="136"/>
      <c r="C9" s="137"/>
      <c r="D9" s="114" t="s">
        <v>172</v>
      </c>
      <c r="E9" s="101" cm="1">
        <f t="array" ref="E9">ENTROPY(E6+273.15,E7)</f>
        <v>-1.0025243269891144</v>
      </c>
      <c r="F9" s="97" t="s">
        <v>173</v>
      </c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14" t="s">
        <v>172</v>
      </c>
      <c r="U9" s="101" cm="1">
        <f t="array" ref="U9">ENTROPY(U6+273.15,U7)</f>
        <v>-0.91984838095227295</v>
      </c>
      <c r="V9" s="97" t="s">
        <v>173</v>
      </c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8"/>
      <c r="AT9" s="136"/>
      <c r="AU9" s="877" t="s">
        <v>174</v>
      </c>
      <c r="AV9" s="878"/>
      <c r="AW9" s="878"/>
      <c r="AX9" s="879"/>
      <c r="AY9" s="225" t="s">
        <v>167</v>
      </c>
      <c r="AZ9" s="218">
        <v>565</v>
      </c>
      <c r="BA9" s="206">
        <v>565</v>
      </c>
      <c r="BB9" s="212">
        <v>565</v>
      </c>
      <c r="BC9" s="137"/>
      <c r="BD9" s="137"/>
      <c r="BE9" s="137"/>
      <c r="BF9" s="137"/>
      <c r="BG9" s="137"/>
      <c r="BH9" s="138"/>
    </row>
    <row r="10" spans="2:60" ht="15.75" thickBot="1" x14ac:dyDescent="0.3">
      <c r="B10" s="136"/>
      <c r="C10" s="137"/>
      <c r="D10" s="116" t="s">
        <v>84</v>
      </c>
      <c r="E10" s="931" t="s">
        <v>97</v>
      </c>
      <c r="F10" s="932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16" t="s">
        <v>84</v>
      </c>
      <c r="U10" s="931" t="s">
        <v>97</v>
      </c>
      <c r="V10" s="932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8"/>
      <c r="AT10" s="136"/>
      <c r="AU10" s="880" t="s">
        <v>175</v>
      </c>
      <c r="AV10" s="881"/>
      <c r="AW10" s="881"/>
      <c r="AX10" s="882"/>
      <c r="AY10" s="227" t="s">
        <v>167</v>
      </c>
      <c r="AZ10" s="231">
        <v>248</v>
      </c>
      <c r="BA10" s="232">
        <v>248</v>
      </c>
      <c r="BB10" s="233">
        <v>248</v>
      </c>
      <c r="BC10" s="137"/>
      <c r="BD10" s="137"/>
      <c r="BE10" s="137"/>
      <c r="BF10" s="137"/>
      <c r="BG10" s="137"/>
      <c r="BH10" s="138"/>
    </row>
    <row r="11" spans="2:60" x14ac:dyDescent="0.25">
      <c r="B11" s="136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8"/>
      <c r="AT11" s="136"/>
      <c r="AU11" s="877" t="s">
        <v>176</v>
      </c>
      <c r="AV11" s="878"/>
      <c r="AW11" s="878"/>
      <c r="AX11" s="879"/>
      <c r="AY11" s="225" t="s">
        <v>25</v>
      </c>
      <c r="AZ11" s="218">
        <v>1.2</v>
      </c>
      <c r="BA11" s="206">
        <v>1.2</v>
      </c>
      <c r="BB11" s="212">
        <v>1.2</v>
      </c>
      <c r="BC11" s="137"/>
      <c r="BD11" s="137"/>
      <c r="BE11" s="137"/>
      <c r="BF11" s="137"/>
      <c r="BG11" s="137"/>
      <c r="BH11" s="138"/>
    </row>
    <row r="12" spans="2:60" x14ac:dyDescent="0.25">
      <c r="B12" s="136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8"/>
      <c r="AT12" s="136"/>
      <c r="AU12" s="880" t="s">
        <v>177</v>
      </c>
      <c r="AV12" s="881"/>
      <c r="AW12" s="881"/>
      <c r="AX12" s="882"/>
      <c r="AY12" s="227" t="s">
        <v>25</v>
      </c>
      <c r="AZ12" s="231">
        <v>2</v>
      </c>
      <c r="BA12" s="232">
        <v>2</v>
      </c>
      <c r="BB12" s="233">
        <v>2</v>
      </c>
      <c r="BC12" s="137"/>
      <c r="BD12" s="137"/>
      <c r="BE12" s="137"/>
      <c r="BF12" s="137"/>
      <c r="BG12" s="137"/>
      <c r="BH12" s="138"/>
    </row>
    <row r="13" spans="2:60" x14ac:dyDescent="0.25">
      <c r="B13" s="136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8"/>
      <c r="AT13" s="136"/>
      <c r="AU13" s="877" t="s">
        <v>178</v>
      </c>
      <c r="AV13" s="878"/>
      <c r="AW13" s="878"/>
      <c r="AX13" s="879"/>
      <c r="AY13" s="225" t="s">
        <v>167</v>
      </c>
      <c r="AZ13" s="217">
        <f>CONVERT(8400,"psi","MPa")</f>
        <v>57.915961262614232</v>
      </c>
      <c r="BA13" s="207">
        <f t="shared" ref="BA13:BB13" si="1">CONVERT(8400,"psi","MPa")</f>
        <v>57.915961262614232</v>
      </c>
      <c r="BB13" s="211">
        <f t="shared" si="1"/>
        <v>57.915961262614232</v>
      </c>
      <c r="BC13" s="137"/>
      <c r="BD13" s="137"/>
      <c r="BE13" s="137"/>
      <c r="BF13" s="137"/>
      <c r="BG13" s="137"/>
      <c r="BH13" s="138"/>
    </row>
    <row r="14" spans="2:60" x14ac:dyDescent="0.25">
      <c r="B14" s="136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8"/>
      <c r="AT14" s="136"/>
      <c r="AU14" s="880" t="s">
        <v>179</v>
      </c>
      <c r="AV14" s="881"/>
      <c r="AW14" s="881"/>
      <c r="AX14" s="882"/>
      <c r="AY14" s="227" t="s">
        <v>25</v>
      </c>
      <c r="AZ14" s="234">
        <f>SQRT(3)*(AZ12^2)/((AZ12^2)-1)</f>
        <v>2.3094010767585029</v>
      </c>
      <c r="BA14" s="235">
        <f t="shared" ref="BA14" si="2">SQRT(3)*(BA12^2)/((BA12^2)-1)</f>
        <v>2.3094010767585029</v>
      </c>
      <c r="BB14" s="236">
        <f>SQRT(3)*(BB12^2)/((BB12^2)-1)</f>
        <v>2.3094010767585029</v>
      </c>
      <c r="BC14" s="137"/>
      <c r="BD14" s="137"/>
      <c r="BE14" s="137"/>
      <c r="BF14" s="137"/>
      <c r="BG14" s="137"/>
      <c r="BH14" s="138"/>
    </row>
    <row r="15" spans="2:60" ht="15.75" thickBot="1" x14ac:dyDescent="0.3">
      <c r="B15" s="136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8"/>
      <c r="AT15" s="136"/>
      <c r="AU15" s="877" t="s">
        <v>180</v>
      </c>
      <c r="AV15" s="878"/>
      <c r="AW15" s="878"/>
      <c r="AX15" s="879"/>
      <c r="AY15" s="225" t="s">
        <v>167</v>
      </c>
      <c r="AZ15" s="219">
        <f>AZ10/AZ14</f>
        <v>107.3871500692704</v>
      </c>
      <c r="BA15" s="208">
        <f t="shared" ref="BA15:BB15" si="3">BA10/BA14</f>
        <v>107.3871500692704</v>
      </c>
      <c r="BB15" s="213">
        <f t="shared" si="3"/>
        <v>107.3871500692704</v>
      </c>
      <c r="BC15" s="137"/>
      <c r="BD15" s="137"/>
      <c r="BE15" s="137"/>
      <c r="BF15" s="137"/>
      <c r="BG15" s="137"/>
      <c r="BH15" s="138"/>
    </row>
    <row r="16" spans="2:60" x14ac:dyDescent="0.25">
      <c r="B16" s="136"/>
      <c r="C16" s="137"/>
      <c r="D16" s="115" t="s">
        <v>75</v>
      </c>
      <c r="E16" s="106">
        <f>E4+U4</f>
        <v>150.75068570632851</v>
      </c>
      <c r="F16" s="103" t="s">
        <v>73</v>
      </c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8"/>
      <c r="AT16" s="136"/>
      <c r="AU16" s="880" t="s">
        <v>181</v>
      </c>
      <c r="AV16" s="881"/>
      <c r="AW16" s="881"/>
      <c r="AX16" s="882"/>
      <c r="AY16" s="227" t="s">
        <v>167</v>
      </c>
      <c r="AZ16" s="234">
        <f>4*SQRT(3)*AZ9/(15*AZ14)</f>
        <v>113.00000000000001</v>
      </c>
      <c r="BA16" s="235">
        <f t="shared" ref="BA16" si="4">4*SQRT(3)*BA9/(15*BA14)</f>
        <v>113.00000000000001</v>
      </c>
      <c r="BB16" s="236">
        <f>4*SQRT(3)*BB9/(15*BB14)</f>
        <v>113.00000000000001</v>
      </c>
      <c r="BC16" s="137"/>
      <c r="BD16" s="137"/>
      <c r="BE16" s="137"/>
      <c r="BF16" s="137"/>
      <c r="BG16" s="137"/>
      <c r="BH16" s="138"/>
    </row>
    <row r="17" spans="2:60" ht="15.75" thickBot="1" x14ac:dyDescent="0.3">
      <c r="B17" s="136"/>
      <c r="C17" s="137"/>
      <c r="D17" s="114" t="s">
        <v>19</v>
      </c>
      <c r="E17" s="104">
        <v>863</v>
      </c>
      <c r="F17" s="97" t="s">
        <v>3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8"/>
      <c r="AT17" s="136"/>
      <c r="AU17" s="877" t="s">
        <v>182</v>
      </c>
      <c r="AV17" s="878"/>
      <c r="AW17" s="878"/>
      <c r="AX17" s="879"/>
      <c r="AY17" s="225" t="s">
        <v>46</v>
      </c>
      <c r="AZ17" s="219">
        <f>EXTRACTOR_DIAMETER/2</f>
        <v>72.370000000000019</v>
      </c>
      <c r="BA17" s="208">
        <f>EXTRACTOR_DIAMETER/2</f>
        <v>72.370000000000019</v>
      </c>
      <c r="BB17" s="213">
        <f>EXTRACTOR_DIAMETER/2</f>
        <v>72.370000000000019</v>
      </c>
      <c r="BC17" s="137"/>
      <c r="BD17" s="137"/>
      <c r="BE17" s="137"/>
      <c r="BF17" s="137"/>
      <c r="BG17" s="137"/>
      <c r="BH17" s="138"/>
    </row>
    <row r="18" spans="2:60" ht="18.75" thickBot="1" x14ac:dyDescent="0.4">
      <c r="B18" s="136"/>
      <c r="C18" s="137"/>
      <c r="D18" s="114" t="s">
        <v>78</v>
      </c>
      <c r="E18" s="102" cm="1">
        <f t="array" ref="E18">ISENTHALPIC_EXPANSION_TEMP(CONVERT(E17,"psi","kPa"),E20)-273.15</f>
        <v>34.877294866159787</v>
      </c>
      <c r="F18" s="97" t="s">
        <v>6</v>
      </c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909" t="s">
        <v>183</v>
      </c>
      <c r="Z18" s="910"/>
      <c r="AA18" s="132">
        <f>W43</f>
        <v>150.75068570632851</v>
      </c>
      <c r="AB18" s="126" t="s">
        <v>73</v>
      </c>
      <c r="AC18" s="137"/>
      <c r="AD18" s="137"/>
      <c r="AE18" s="137"/>
      <c r="AF18" s="137"/>
      <c r="AG18" s="137"/>
      <c r="AH18" s="909" t="s">
        <v>183</v>
      </c>
      <c r="AI18" s="910"/>
      <c r="AJ18" s="132">
        <f>AA18</f>
        <v>150.75068570632851</v>
      </c>
      <c r="AK18" s="126" t="s">
        <v>73</v>
      </c>
      <c r="AL18" s="137"/>
      <c r="AM18" s="137"/>
      <c r="AN18" s="137"/>
      <c r="AO18" s="137"/>
      <c r="AP18" s="137"/>
      <c r="AQ18" s="137"/>
      <c r="AR18" s="138"/>
      <c r="AT18" s="136"/>
      <c r="AU18" s="880" t="s">
        <v>184</v>
      </c>
      <c r="AV18" s="881"/>
      <c r="AW18" s="881"/>
      <c r="AX18" s="882"/>
      <c r="AY18" s="227" t="s">
        <v>46</v>
      </c>
      <c r="AZ18" s="234">
        <f>AZ17*AZ12</f>
        <v>144.74000000000004</v>
      </c>
      <c r="BA18" s="235">
        <f t="shared" ref="BA18:BB18" si="5">BA17*BA12</f>
        <v>144.74000000000004</v>
      </c>
      <c r="BB18" s="236">
        <f t="shared" si="5"/>
        <v>144.74000000000004</v>
      </c>
      <c r="BC18" s="137"/>
      <c r="BD18" s="137"/>
      <c r="BE18" s="137"/>
      <c r="BF18" s="137"/>
      <c r="BG18" s="137"/>
      <c r="BH18" s="138"/>
    </row>
    <row r="19" spans="2:60" ht="17.25" thickBot="1" x14ac:dyDescent="0.3">
      <c r="B19" s="136"/>
      <c r="C19" s="137"/>
      <c r="D19" s="114" t="s">
        <v>164</v>
      </c>
      <c r="E19" s="100" cm="1">
        <f t="array" ref="E19">DENSITY_ISOBAR(E18+273.15,CONVERT(E17,"psi","kPa"))</f>
        <v>156.68408418152606</v>
      </c>
      <c r="F19" s="97" t="s">
        <v>165</v>
      </c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8"/>
      <c r="AT19" s="136"/>
      <c r="AU19" s="877" t="s">
        <v>185</v>
      </c>
      <c r="AV19" s="878"/>
      <c r="AW19" s="878"/>
      <c r="AX19" s="879"/>
      <c r="AY19" s="225" t="s">
        <v>46</v>
      </c>
      <c r="AZ19" s="219">
        <f>AZ18-AZ17</f>
        <v>72.370000000000019</v>
      </c>
      <c r="BA19" s="208">
        <f t="shared" ref="BA19:BB19" si="6">BA18-BA17</f>
        <v>72.370000000000019</v>
      </c>
      <c r="BB19" s="213">
        <f t="shared" si="6"/>
        <v>72.370000000000019</v>
      </c>
      <c r="BC19" s="137"/>
      <c r="BD19" s="137"/>
      <c r="BE19" s="137"/>
      <c r="BF19" s="137"/>
      <c r="BG19" s="137"/>
      <c r="BH19" s="138"/>
    </row>
    <row r="20" spans="2:60" ht="15.75" thickBot="1" x14ac:dyDescent="0.3">
      <c r="B20" s="136"/>
      <c r="C20" s="137"/>
      <c r="D20" s="114" t="s">
        <v>168</v>
      </c>
      <c r="E20" s="100">
        <f>( (E4*E8) + (U4*U8) )/E16</f>
        <v>-64.031720512577195</v>
      </c>
      <c r="F20" s="97" t="s">
        <v>169</v>
      </c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29" t="s">
        <v>186</v>
      </c>
      <c r="AA20" s="127" cm="1">
        <f t="array" ref="AA20">VAPOR_FRACTION(AA24+273.15,CONVERT(AA23,"psi","kPa"),AA26)</f>
        <v>0.37768149242115778</v>
      </c>
      <c r="AB20" s="126" t="s">
        <v>25</v>
      </c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8"/>
      <c r="AT20" s="136"/>
      <c r="AU20" s="880" t="s">
        <v>187</v>
      </c>
      <c r="AV20" s="881"/>
      <c r="AW20" s="881"/>
      <c r="AX20" s="882"/>
      <c r="AY20" s="227" t="s">
        <v>167</v>
      </c>
      <c r="AZ20" s="234">
        <f>(2/3)*AZ10</f>
        <v>165.33333333333331</v>
      </c>
      <c r="BA20" s="235">
        <f t="shared" ref="BA20:BB20" si="7">(2/3)*BA10</f>
        <v>165.33333333333331</v>
      </c>
      <c r="BB20" s="236">
        <f t="shared" si="7"/>
        <v>165.33333333333331</v>
      </c>
      <c r="BC20" s="137"/>
      <c r="BD20" s="137"/>
      <c r="BE20" s="137"/>
      <c r="BF20" s="137"/>
      <c r="BG20" s="137"/>
      <c r="BH20" s="138"/>
    </row>
    <row r="21" spans="2:60" ht="15.75" thickBot="1" x14ac:dyDescent="0.3">
      <c r="B21" s="136"/>
      <c r="C21" s="137"/>
      <c r="D21" s="114" t="s">
        <v>172</v>
      </c>
      <c r="E21" s="101" cm="1">
        <f t="array" ref="E21">ENTROPY(E18+273.15,E19)</f>
        <v>-0.92066075316777507</v>
      </c>
      <c r="F21" s="97" t="s">
        <v>173</v>
      </c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8"/>
      <c r="AT21" s="136"/>
      <c r="AU21" s="877" t="s">
        <v>188</v>
      </c>
      <c r="AV21" s="878"/>
      <c r="AW21" s="878"/>
      <c r="AX21" s="879"/>
      <c r="AY21" s="225" t="s">
        <v>46</v>
      </c>
      <c r="AZ21" s="219">
        <f>2*AZ17*SQRT(0.4*AZ13/AZ20)</f>
        <v>54.179811228957156</v>
      </c>
      <c r="BA21" s="208">
        <f t="shared" ref="BA21" si="8">2*BA17*SQRT(0.4*BA13/BA20)</f>
        <v>54.179811228957156</v>
      </c>
      <c r="BB21" s="213">
        <f>2*BB17*SQRT(0.4*BB13/BB20)</f>
        <v>54.179811228957156</v>
      </c>
      <c r="BC21" s="137"/>
      <c r="BD21" s="137"/>
      <c r="BE21" s="137"/>
      <c r="BF21" s="137"/>
      <c r="BG21" s="137"/>
      <c r="BH21" s="138"/>
    </row>
    <row r="22" spans="2:60" ht="15.75" thickBot="1" x14ac:dyDescent="0.3">
      <c r="B22" s="136"/>
      <c r="C22" s="137"/>
      <c r="D22" s="116" t="s">
        <v>84</v>
      </c>
      <c r="E22" s="931" t="s">
        <v>97</v>
      </c>
      <c r="F22" s="932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15" t="s">
        <v>75</v>
      </c>
      <c r="AA22" s="106">
        <f>W45</f>
        <v>151.33654145172753</v>
      </c>
      <c r="AB22" s="103" t="s">
        <v>73</v>
      </c>
      <c r="AC22" s="137"/>
      <c r="AD22" s="902" t="s">
        <v>189</v>
      </c>
      <c r="AE22" s="912"/>
      <c r="AF22" s="912"/>
      <c r="AG22" s="913"/>
      <c r="AH22" s="137"/>
      <c r="AI22" s="115" t="s">
        <v>75</v>
      </c>
      <c r="AJ22" s="106">
        <f>AA22</f>
        <v>151.33654145172753</v>
      </c>
      <c r="AK22" s="103" t="s">
        <v>73</v>
      </c>
      <c r="AL22" s="137"/>
      <c r="AM22" s="137"/>
      <c r="AN22" s="137"/>
      <c r="AO22" s="137"/>
      <c r="AP22" s="137"/>
      <c r="AQ22" s="137"/>
      <c r="AR22" s="138"/>
      <c r="AT22" s="136"/>
      <c r="AU22" s="880" t="s">
        <v>190</v>
      </c>
      <c r="AV22" s="881"/>
      <c r="AW22" s="881"/>
      <c r="AX22" s="882"/>
      <c r="AY22" s="227" t="s">
        <v>46</v>
      </c>
      <c r="AZ22" s="231">
        <f>EXTRACTOR_LENGTH</f>
        <v>1447.4000000000003</v>
      </c>
      <c r="BA22" s="232">
        <f>EXTRACTOR_LENGTH</f>
        <v>1447.4000000000003</v>
      </c>
      <c r="BB22" s="233">
        <f>EXTRACTOR_LENGTH</f>
        <v>1447.4000000000003</v>
      </c>
      <c r="BC22" s="137"/>
      <c r="BD22" s="137"/>
      <c r="BE22" s="137"/>
      <c r="BF22" s="137"/>
      <c r="BG22" s="137"/>
      <c r="BH22" s="138"/>
    </row>
    <row r="23" spans="2:60" ht="15.75" thickBot="1" x14ac:dyDescent="0.3">
      <c r="B23" s="136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14" t="s">
        <v>19</v>
      </c>
      <c r="AA23" s="104">
        <f>W38</f>
        <v>872</v>
      </c>
      <c r="AB23" s="97" t="s">
        <v>3</v>
      </c>
      <c r="AC23" s="137"/>
      <c r="AD23" s="923" t="s">
        <v>191</v>
      </c>
      <c r="AE23" s="924"/>
      <c r="AF23" s="119">
        <v>35</v>
      </c>
      <c r="AG23" s="99" t="s">
        <v>6</v>
      </c>
      <c r="AH23" s="137"/>
      <c r="AI23" s="114" t="s">
        <v>19</v>
      </c>
      <c r="AJ23" s="104">
        <f>AA23-AF24</f>
        <v>863</v>
      </c>
      <c r="AK23" s="97" t="s">
        <v>3</v>
      </c>
      <c r="AL23" s="137"/>
      <c r="AM23" s="137"/>
      <c r="AN23" s="137"/>
      <c r="AO23" s="137"/>
      <c r="AP23" s="137"/>
      <c r="AQ23" s="137"/>
      <c r="AR23" s="138"/>
      <c r="AT23" s="136"/>
      <c r="AU23" s="883" t="s">
        <v>192</v>
      </c>
      <c r="AV23" s="884"/>
      <c r="AW23" s="884"/>
      <c r="AX23" s="885"/>
      <c r="AY23" s="226" t="s">
        <v>46</v>
      </c>
      <c r="AZ23" s="220">
        <f>AZ22+2*AZ21</f>
        <v>1555.7596224579147</v>
      </c>
      <c r="BA23" s="214">
        <f t="shared" ref="BA23:BB23" si="9">BA22+2*BA21</f>
        <v>1555.7596224579147</v>
      </c>
      <c r="BB23" s="215">
        <f t="shared" si="9"/>
        <v>1555.7596224579147</v>
      </c>
      <c r="BC23" s="137"/>
      <c r="BD23" s="137"/>
      <c r="BE23" s="137"/>
      <c r="BF23" s="137"/>
      <c r="BG23" s="137"/>
      <c r="BH23" s="138"/>
    </row>
    <row r="24" spans="2:60" x14ac:dyDescent="0.25">
      <c r="B24" s="136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14" t="s">
        <v>78</v>
      </c>
      <c r="AA24" s="102" cm="1">
        <f t="array" ref="AA24">ISENTHALPIC_EXPANSION_TEMP(CONVERT(AA23,"psi","kPa"),AA26)-273.15</f>
        <v>22.064471196202533</v>
      </c>
      <c r="AB24" s="97" t="s">
        <v>6</v>
      </c>
      <c r="AC24" s="137"/>
      <c r="AD24" s="920" t="s">
        <v>193</v>
      </c>
      <c r="AE24" s="922"/>
      <c r="AF24" s="102">
        <f>HEX_PDROP</f>
        <v>9</v>
      </c>
      <c r="AG24" s="97" t="s">
        <v>194</v>
      </c>
      <c r="AH24" s="137"/>
      <c r="AI24" s="114" t="s">
        <v>78</v>
      </c>
      <c r="AJ24" s="102">
        <f>AF23</f>
        <v>35</v>
      </c>
      <c r="AK24" s="97" t="s">
        <v>6</v>
      </c>
      <c r="AL24" s="137"/>
      <c r="AM24" s="137"/>
      <c r="AN24" s="137"/>
      <c r="AO24" s="137"/>
      <c r="AP24" s="137"/>
      <c r="AQ24" s="137"/>
      <c r="AR24" s="138"/>
      <c r="AT24" s="136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8"/>
    </row>
    <row r="25" spans="2:60" ht="17.25" thickBot="1" x14ac:dyDescent="0.3">
      <c r="B25" s="136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14" t="s">
        <v>164</v>
      </c>
      <c r="AA25" s="100" cm="1">
        <f t="array" ref="AA25">(              (1/SAT_DENSITY_L(AA24+273.15)) + AA20*(     (1/SAT_DENSITY_V(AA24+273.15)) - (1/SAT_DENSITY_L(AA24+273.15))    )                )^(-1)</f>
        <v>382.54643963000024</v>
      </c>
      <c r="AB25" s="97" t="s">
        <v>165</v>
      </c>
      <c r="AC25" s="137"/>
      <c r="AD25" s="917" t="s">
        <v>195</v>
      </c>
      <c r="AE25" s="919"/>
      <c r="AF25" s="118">
        <f>(AJ26-AA26)*(AJ22/EXT_TIME/60)</f>
        <v>4.2704399821434276</v>
      </c>
      <c r="AG25" s="98" t="s">
        <v>116</v>
      </c>
      <c r="AH25" s="137"/>
      <c r="AI25" s="114" t="s">
        <v>164</v>
      </c>
      <c r="AJ25" s="100" cm="1">
        <f t="array" ref="AJ25">DENSITY_ISOBAR(AJ24+273.15,CONVERT(AJ23,"psi","kPa"))</f>
        <v>156.42835468421106</v>
      </c>
      <c r="AK25" s="97" t="s">
        <v>165</v>
      </c>
      <c r="AL25" s="137"/>
      <c r="AM25" s="137"/>
      <c r="AN25" s="137"/>
      <c r="AO25" s="137"/>
      <c r="AP25" s="137"/>
      <c r="AQ25" s="137"/>
      <c r="AR25" s="138"/>
      <c r="AT25" s="136"/>
      <c r="AU25" s="728" t="s">
        <v>196</v>
      </c>
      <c r="AV25" s="728"/>
      <c r="AW25" s="728"/>
      <c r="AX25" s="728"/>
      <c r="AY25" s="309" t="s">
        <v>46</v>
      </c>
      <c r="AZ25" s="309">
        <v>300</v>
      </c>
      <c r="BA25" s="309">
        <v>300</v>
      </c>
      <c r="BB25" s="309">
        <v>300</v>
      </c>
      <c r="BC25" s="137"/>
      <c r="BD25" s="137"/>
      <c r="BE25" s="137"/>
      <c r="BF25" s="137"/>
      <c r="BG25" s="137"/>
      <c r="BH25" s="138"/>
    </row>
    <row r="26" spans="2:60" x14ac:dyDescent="0.25">
      <c r="B26" s="136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14" t="s">
        <v>168</v>
      </c>
      <c r="AA26" s="100">
        <f>W49</f>
        <v>-190.76319479425419</v>
      </c>
      <c r="AB26" s="97" t="s">
        <v>169</v>
      </c>
      <c r="AC26" s="137"/>
      <c r="AD26" s="137"/>
      <c r="AE26" s="137"/>
      <c r="AF26" s="137"/>
      <c r="AG26" s="137"/>
      <c r="AH26" s="137"/>
      <c r="AI26" s="114" t="s">
        <v>168</v>
      </c>
      <c r="AJ26" s="100" cm="1">
        <f t="array" ref="AJ26">HENTALPY(AJ24+273.15,AJ25)</f>
        <v>-63.781437874857779</v>
      </c>
      <c r="AK26" s="97" t="s">
        <v>169</v>
      </c>
      <c r="AL26" s="137"/>
      <c r="AM26" s="137"/>
      <c r="AN26" s="137"/>
      <c r="AO26" s="137"/>
      <c r="AP26" s="137"/>
      <c r="AQ26" s="137"/>
      <c r="AR26" s="138"/>
      <c r="AT26" s="136"/>
      <c r="AU26" s="728" t="s">
        <v>197</v>
      </c>
      <c r="AV26" s="728"/>
      <c r="AW26" s="728"/>
      <c r="AX26" s="728"/>
      <c r="AY26" s="309" t="s">
        <v>46</v>
      </c>
      <c r="AZ26" s="309">
        <f>ROUNDUP(AZ11*AZ23,0)</f>
        <v>1867</v>
      </c>
      <c r="BA26" s="309">
        <f t="shared" ref="BA26:BB26" si="10">ROUNDUP(BA11*BA23,0)</f>
        <v>1867</v>
      </c>
      <c r="BB26" s="309">
        <f t="shared" si="10"/>
        <v>1867</v>
      </c>
      <c r="BC26" s="137"/>
      <c r="BD26" s="137"/>
      <c r="BE26" s="137"/>
      <c r="BF26" s="137"/>
      <c r="BG26" s="137"/>
      <c r="BH26" s="138"/>
    </row>
    <row r="27" spans="2:60" x14ac:dyDescent="0.25">
      <c r="B27" s="136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14" t="s">
        <v>172</v>
      </c>
      <c r="AA27" s="101" cm="1">
        <f t="array" ref="AA27">ENTROPY(AA24+273.15,AA25)</f>
        <v>-1.4834077039223255</v>
      </c>
      <c r="AB27" s="97" t="s">
        <v>173</v>
      </c>
      <c r="AC27" s="137"/>
      <c r="AD27" s="137"/>
      <c r="AE27" s="137"/>
      <c r="AF27" s="137"/>
      <c r="AG27" s="137"/>
      <c r="AH27" s="137"/>
      <c r="AI27" s="114" t="s">
        <v>172</v>
      </c>
      <c r="AJ27" s="101" cm="1">
        <f t="array" ref="AJ27">ENTROPY(AJ24+273.15,AJ25)</f>
        <v>-0.91984838095227295</v>
      </c>
      <c r="AK27" s="97" t="s">
        <v>173</v>
      </c>
      <c r="AL27" s="137"/>
      <c r="AM27" s="137"/>
      <c r="AN27" s="137"/>
      <c r="AO27" s="137"/>
      <c r="AP27" s="137"/>
      <c r="AQ27" s="137"/>
      <c r="AR27" s="138"/>
      <c r="AT27" s="136"/>
      <c r="AU27" s="728" t="s">
        <v>198</v>
      </c>
      <c r="AV27" s="728"/>
      <c r="AW27" s="728"/>
      <c r="AX27" s="728"/>
      <c r="AY27" s="309" t="s">
        <v>46</v>
      </c>
      <c r="AZ27" s="309">
        <v>2000</v>
      </c>
      <c r="BA27" s="309">
        <v>2000</v>
      </c>
      <c r="BB27" s="309">
        <v>2000</v>
      </c>
      <c r="BC27" s="137"/>
      <c r="BD27" s="137"/>
      <c r="BE27" s="310"/>
      <c r="BF27" s="310"/>
      <c r="BG27" s="137"/>
      <c r="BH27" s="138"/>
    </row>
    <row r="28" spans="2:60" ht="18.75" thickBot="1" x14ac:dyDescent="0.3">
      <c r="B28" s="136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16" t="s">
        <v>84</v>
      </c>
      <c r="AA28" s="907" t="s">
        <v>199</v>
      </c>
      <c r="AB28" s="908"/>
      <c r="AC28" s="137"/>
      <c r="AD28" s="137"/>
      <c r="AE28" s="137"/>
      <c r="AF28" s="137"/>
      <c r="AG28" s="137"/>
      <c r="AH28" s="137"/>
      <c r="AI28" s="116" t="s">
        <v>84</v>
      </c>
      <c r="AJ28" s="931" t="s">
        <v>97</v>
      </c>
      <c r="AK28" s="932"/>
      <c r="AL28" s="137"/>
      <c r="AM28" s="137"/>
      <c r="AN28" s="137"/>
      <c r="AO28" s="137"/>
      <c r="AP28" s="137"/>
      <c r="AQ28" s="137"/>
      <c r="AR28" s="138"/>
      <c r="AT28" s="136"/>
      <c r="AU28" s="728" t="s">
        <v>200</v>
      </c>
      <c r="AV28" s="728"/>
      <c r="AW28" s="728"/>
      <c r="AX28" s="728"/>
      <c r="AY28" s="309" t="s">
        <v>89</v>
      </c>
      <c r="AZ28" s="311">
        <f>0.25*PI()*( (AZ25/1000)^2 )*( (AZ27/1000) )*7981.32566468245</f>
        <v>1128.3333333333326</v>
      </c>
      <c r="BA28" s="311">
        <f t="shared" ref="BA28:BB28" si="11">0.25*PI()*( (BA25/1000)^2 )*( (BA27/1000) )*7981.32566468245</f>
        <v>1128.3333333333326</v>
      </c>
      <c r="BB28" s="311">
        <f t="shared" si="11"/>
        <v>1128.3333333333326</v>
      </c>
      <c r="BC28" s="137"/>
      <c r="BD28" s="137"/>
      <c r="BE28" s="137"/>
      <c r="BF28" s="137"/>
      <c r="BG28" s="137"/>
      <c r="BH28" s="138"/>
    </row>
    <row r="29" spans="2:60" ht="15.75" thickBot="1" x14ac:dyDescent="0.3">
      <c r="B29" s="136"/>
      <c r="C29" s="902" t="s">
        <v>189</v>
      </c>
      <c r="D29" s="912"/>
      <c r="E29" s="912"/>
      <c r="F29" s="913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8"/>
      <c r="AT29" s="136"/>
      <c r="AU29" s="728" t="s">
        <v>201</v>
      </c>
      <c r="AV29" s="728"/>
      <c r="AW29" s="728"/>
      <c r="AX29" s="728"/>
      <c r="AY29" s="309" t="s">
        <v>96</v>
      </c>
      <c r="AZ29" s="312">
        <f>AZ28*3.56</f>
        <v>4016.8666666666641</v>
      </c>
      <c r="BA29" s="312">
        <f t="shared" ref="BA29:BB29" si="12">BA28*3.56</f>
        <v>4016.8666666666641</v>
      </c>
      <c r="BB29" s="312">
        <f t="shared" si="12"/>
        <v>4016.8666666666641</v>
      </c>
      <c r="BC29" s="137"/>
      <c r="BD29" s="137"/>
      <c r="BE29" s="137"/>
      <c r="BF29" s="137"/>
      <c r="BG29" s="137"/>
      <c r="BH29" s="138"/>
    </row>
    <row r="30" spans="2:60" x14ac:dyDescent="0.25">
      <c r="B30" s="136"/>
      <c r="C30" s="923" t="s">
        <v>191</v>
      </c>
      <c r="D30" s="924"/>
      <c r="E30" s="119">
        <f>I89</f>
        <v>5</v>
      </c>
      <c r="F30" s="99" t="s">
        <v>6</v>
      </c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8"/>
      <c r="AT30" s="136"/>
      <c r="AU30" s="728" t="s">
        <v>202</v>
      </c>
      <c r="AV30" s="728"/>
      <c r="AW30" s="728"/>
      <c r="AX30" s="728"/>
      <c r="AY30" s="309" t="s">
        <v>96</v>
      </c>
      <c r="AZ30" s="313">
        <f>AZ28*(175/4137.1)</f>
        <v>47.728682732670997</v>
      </c>
      <c r="BA30" s="313">
        <f t="shared" ref="BA30:BB30" si="13">BA28*(175/4137.1)</f>
        <v>47.728682732670997</v>
      </c>
      <c r="BB30" s="313">
        <f t="shared" si="13"/>
        <v>47.728682732670997</v>
      </c>
      <c r="BC30" s="137"/>
      <c r="BD30" s="137"/>
      <c r="BE30" s="137"/>
      <c r="BF30" s="137"/>
      <c r="BG30" s="137"/>
      <c r="BH30" s="138"/>
    </row>
    <row r="31" spans="2:60" x14ac:dyDescent="0.25">
      <c r="B31" s="136"/>
      <c r="C31" s="920" t="s">
        <v>193</v>
      </c>
      <c r="D31" s="922"/>
      <c r="E31" s="102">
        <f>HEX_PDROP</f>
        <v>9</v>
      </c>
      <c r="F31" s="97" t="s">
        <v>194</v>
      </c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8"/>
      <c r="AT31" s="136"/>
      <c r="AU31" s="728" t="s">
        <v>60</v>
      </c>
      <c r="AV31" s="728"/>
      <c r="AW31" s="728"/>
      <c r="AX31" s="728"/>
      <c r="AY31" s="309" t="s">
        <v>25</v>
      </c>
      <c r="AZ31" s="314">
        <v>0.19</v>
      </c>
      <c r="BA31" s="314">
        <v>0.19</v>
      </c>
      <c r="BB31" s="314">
        <v>0.19</v>
      </c>
      <c r="BC31" s="137"/>
      <c r="BD31" s="137"/>
      <c r="BE31" s="137"/>
      <c r="BF31" s="137"/>
      <c r="BG31" s="137"/>
      <c r="BH31" s="138"/>
    </row>
    <row r="32" spans="2:60" ht="15.75" thickBot="1" x14ac:dyDescent="0.3">
      <c r="B32" s="136"/>
      <c r="C32" s="917" t="s">
        <v>195</v>
      </c>
      <c r="D32" s="919"/>
      <c r="E32" s="118">
        <f>(I87/EXT_TIME/60)*(I91-E20)</f>
        <v>-7.7983668048724724</v>
      </c>
      <c r="F32" s="98" t="s">
        <v>116</v>
      </c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8"/>
      <c r="AT32" s="136"/>
      <c r="AU32" s="728" t="s">
        <v>203</v>
      </c>
      <c r="AV32" s="728"/>
      <c r="AW32" s="728"/>
      <c r="AX32" s="728"/>
      <c r="AY32" s="309" t="s">
        <v>96</v>
      </c>
      <c r="AZ32" s="313">
        <f>AZ29+AZ30</f>
        <v>4064.5953493993352</v>
      </c>
      <c r="BA32" s="313">
        <f t="shared" ref="BA32:BB32" si="14">BA29+BA30</f>
        <v>4064.5953493993352</v>
      </c>
      <c r="BB32" s="313">
        <f t="shared" si="14"/>
        <v>4064.5953493993352</v>
      </c>
      <c r="BC32" s="137"/>
      <c r="BD32" s="137"/>
      <c r="BE32" s="137"/>
      <c r="BF32" s="137"/>
      <c r="BG32" s="137"/>
      <c r="BH32" s="138"/>
    </row>
    <row r="33" spans="2:60" x14ac:dyDescent="0.25">
      <c r="B33" s="136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8"/>
      <c r="AT33" s="136"/>
      <c r="AU33" s="728" t="s">
        <v>204</v>
      </c>
      <c r="AV33" s="728"/>
      <c r="AW33" s="728"/>
      <c r="AX33" s="728"/>
      <c r="AY33" s="309" t="s">
        <v>96</v>
      </c>
      <c r="AZ33" s="315">
        <f>(1+AZ31)*AZ32</f>
        <v>4836.8684657852091</v>
      </c>
      <c r="BA33" s="315">
        <f t="shared" ref="BA33:BB33" si="15">(1+BA31)*BA32</f>
        <v>4836.8684657852091</v>
      </c>
      <c r="BB33" s="315">
        <f t="shared" si="15"/>
        <v>4836.8684657852091</v>
      </c>
      <c r="BC33" s="137"/>
      <c r="BD33" s="137"/>
      <c r="BE33" s="137"/>
      <c r="BF33" s="137"/>
      <c r="BG33" s="137"/>
      <c r="BH33" s="138"/>
    </row>
    <row r="34" spans="2:60" x14ac:dyDescent="0.25">
      <c r="B34" s="136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8"/>
      <c r="AT34" s="136"/>
      <c r="AU34" s="316"/>
      <c r="AV34" s="316"/>
      <c r="AW34" s="316"/>
      <c r="AX34" s="316"/>
      <c r="AY34" s="317"/>
      <c r="AZ34" s="317"/>
      <c r="BA34" s="317"/>
      <c r="BB34" s="317"/>
      <c r="BC34" s="137"/>
      <c r="BD34" s="137"/>
      <c r="BE34" s="137"/>
      <c r="BF34" s="137"/>
      <c r="BG34" s="137"/>
      <c r="BH34" s="138"/>
    </row>
    <row r="35" spans="2:60" x14ac:dyDescent="0.25">
      <c r="B35" s="136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8"/>
      <c r="AT35" s="136"/>
      <c r="AU35" s="728" t="s">
        <v>205</v>
      </c>
      <c r="AV35" s="728"/>
      <c r="AW35" s="728"/>
      <c r="AX35" s="728"/>
      <c r="AY35" s="309" t="s">
        <v>96</v>
      </c>
      <c r="AZ35" s="313">
        <v>2000</v>
      </c>
      <c r="BA35" s="313">
        <v>2500</v>
      </c>
      <c r="BB35" s="313">
        <v>2500</v>
      </c>
      <c r="BC35" s="137"/>
      <c r="BD35" s="137"/>
      <c r="BE35" s="137"/>
      <c r="BF35" s="137"/>
      <c r="BG35" s="137"/>
      <c r="BH35" s="138"/>
    </row>
    <row r="36" spans="2:60" ht="15.75" thickBot="1" x14ac:dyDescent="0.3">
      <c r="B36" s="136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8"/>
      <c r="AT36" s="136"/>
      <c r="AU36" s="728" t="s">
        <v>206</v>
      </c>
      <c r="AV36" s="728"/>
      <c r="AW36" s="728"/>
      <c r="AX36" s="728"/>
      <c r="AY36" s="309" t="s">
        <v>96</v>
      </c>
      <c r="AZ36" s="313">
        <v>1000</v>
      </c>
      <c r="BA36" s="313">
        <v>2700</v>
      </c>
      <c r="BB36" s="313">
        <v>2700</v>
      </c>
      <c r="BC36" s="137"/>
      <c r="BD36" s="137"/>
      <c r="BE36" s="137"/>
      <c r="BF36" s="137"/>
      <c r="BG36" s="137"/>
      <c r="BH36" s="138"/>
    </row>
    <row r="37" spans="2:60" ht="15.75" thickBot="1" x14ac:dyDescent="0.3">
      <c r="B37" s="136"/>
      <c r="C37" s="137"/>
      <c r="D37" s="115" t="s">
        <v>75</v>
      </c>
      <c r="E37" s="106">
        <f>E16</f>
        <v>150.75068570632851</v>
      </c>
      <c r="F37" s="103" t="s">
        <v>73</v>
      </c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902" t="s">
        <v>207</v>
      </c>
      <c r="V37" s="903"/>
      <c r="W37" s="903"/>
      <c r="X37" s="904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8"/>
      <c r="AT37" s="136"/>
      <c r="AU37" s="728" t="s">
        <v>208</v>
      </c>
      <c r="AV37" s="728"/>
      <c r="AW37" s="728"/>
      <c r="AX37" s="728"/>
      <c r="AY37" s="309" t="s">
        <v>96</v>
      </c>
      <c r="AZ37" s="313">
        <f>SUM(AZ35:AZ36)</f>
        <v>3000</v>
      </c>
      <c r="BA37" s="313">
        <f t="shared" ref="BA37:BB37" si="16">SUM(BA35:BA36)</f>
        <v>5200</v>
      </c>
      <c r="BB37" s="313">
        <f t="shared" si="16"/>
        <v>5200</v>
      </c>
      <c r="BC37" s="137"/>
      <c r="BD37" s="137"/>
      <c r="BE37" s="137"/>
      <c r="BF37" s="137"/>
      <c r="BG37" s="137"/>
      <c r="BH37" s="138"/>
    </row>
    <row r="38" spans="2:60" ht="15.75" thickBot="1" x14ac:dyDescent="0.3">
      <c r="B38" s="136"/>
      <c r="C38" s="137"/>
      <c r="D38" s="114" t="s">
        <v>19</v>
      </c>
      <c r="E38" s="104">
        <f>E17-E31</f>
        <v>854</v>
      </c>
      <c r="F38" s="97" t="s">
        <v>3</v>
      </c>
      <c r="G38" s="137"/>
      <c r="H38" s="137"/>
      <c r="I38" s="253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933" t="s">
        <v>209</v>
      </c>
      <c r="V38" s="934"/>
      <c r="W38" s="128">
        <v>872</v>
      </c>
      <c r="X38" s="125" t="s">
        <v>3</v>
      </c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8"/>
      <c r="AT38" s="136"/>
      <c r="AU38" s="308"/>
      <c r="AV38" s="308"/>
      <c r="AW38" s="308"/>
      <c r="AX38" s="308"/>
      <c r="AY38" s="309"/>
      <c r="AZ38" s="313"/>
      <c r="BA38" s="313"/>
      <c r="BB38" s="313"/>
      <c r="BC38" s="137"/>
      <c r="BD38" s="137"/>
      <c r="BE38" s="137"/>
      <c r="BF38" s="137"/>
      <c r="BG38" s="137"/>
      <c r="BH38" s="138"/>
    </row>
    <row r="39" spans="2:60" x14ac:dyDescent="0.25">
      <c r="B39" s="136"/>
      <c r="C39" s="137"/>
      <c r="D39" s="114" t="s">
        <v>78</v>
      </c>
      <c r="E39" s="102">
        <f>E30</f>
        <v>5</v>
      </c>
      <c r="F39" s="97" t="s">
        <v>6</v>
      </c>
      <c r="G39" s="137"/>
      <c r="H39" s="137"/>
      <c r="I39" s="254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8"/>
      <c r="AT39" s="136"/>
      <c r="AU39" s="728" t="s">
        <v>210</v>
      </c>
      <c r="AV39" s="728"/>
      <c r="AW39" s="728"/>
      <c r="AX39" s="728"/>
      <c r="AY39" s="309" t="s">
        <v>96</v>
      </c>
      <c r="AZ39" s="313">
        <f>SUM(AZ37,AZ33)</f>
        <v>7836.8684657852091</v>
      </c>
      <c r="BA39" s="313">
        <f t="shared" ref="BA39:BB39" si="17">SUM(BA37,BA33)</f>
        <v>10036.86846578521</v>
      </c>
      <c r="BB39" s="313">
        <f t="shared" si="17"/>
        <v>10036.86846578521</v>
      </c>
      <c r="BC39" s="137"/>
      <c r="BD39" s="137"/>
      <c r="BE39" s="137"/>
      <c r="BF39" s="137"/>
      <c r="BG39" s="137"/>
      <c r="BH39" s="138"/>
    </row>
    <row r="40" spans="2:60" ht="16.5" x14ac:dyDescent="0.25">
      <c r="B40" s="136"/>
      <c r="C40" s="137"/>
      <c r="D40" s="114" t="s">
        <v>164</v>
      </c>
      <c r="E40" s="100" cm="1">
        <f t="array" ref="E40">DENSITY_ISOBAR(E39+273.15,CONVERT(E38,"psi","kPa"))</f>
        <v>916.1265569861049</v>
      </c>
      <c r="F40" s="97" t="s">
        <v>165</v>
      </c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8"/>
      <c r="AT40" s="136"/>
      <c r="AU40" s="735" t="s">
        <v>211</v>
      </c>
      <c r="AV40" s="735"/>
      <c r="AW40" s="735"/>
      <c r="AX40" s="735"/>
      <c r="AY40" s="319" t="s">
        <v>96</v>
      </c>
      <c r="AZ40" s="320">
        <f>AZ39*COST_FACTOR</f>
        <v>8620.555312363731</v>
      </c>
      <c r="BA40" s="320">
        <f>BA39*COST_FACTOR</f>
        <v>11040.555312363731</v>
      </c>
      <c r="BB40" s="320">
        <f>BB39*COST_FACTOR</f>
        <v>11040.555312363731</v>
      </c>
      <c r="BC40" s="137"/>
      <c r="BD40" s="137"/>
      <c r="BE40" s="137"/>
      <c r="BF40" s="137"/>
      <c r="BG40" s="137"/>
      <c r="BH40" s="138"/>
    </row>
    <row r="41" spans="2:60" ht="15.75" thickBot="1" x14ac:dyDescent="0.3">
      <c r="B41" s="136"/>
      <c r="C41" s="137"/>
      <c r="D41" s="114" t="s">
        <v>168</v>
      </c>
      <c r="E41" s="100" cm="1">
        <f t="array" ref="E41">HENTALPY(E39+273.15,E40)</f>
        <v>-296.81773045676238</v>
      </c>
      <c r="F41" s="97" t="s">
        <v>169</v>
      </c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8"/>
      <c r="AT41" s="136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8"/>
    </row>
    <row r="42" spans="2:60" ht="15.75" thickBot="1" x14ac:dyDescent="0.3">
      <c r="B42" s="136"/>
      <c r="C42" s="137"/>
      <c r="D42" s="114" t="s">
        <v>172</v>
      </c>
      <c r="E42" s="101" cm="1">
        <f t="array" ref="E42">ENTROPY(E39+273.15,E40)</f>
        <v>-1.7123206240649818</v>
      </c>
      <c r="F42" s="97" t="s">
        <v>173</v>
      </c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8"/>
      <c r="AT42" s="136"/>
      <c r="AU42" s="826" t="s">
        <v>212</v>
      </c>
      <c r="AV42" s="827"/>
      <c r="AW42" s="827"/>
      <c r="AX42" s="827"/>
      <c r="AY42" s="827"/>
      <c r="AZ42" s="827"/>
      <c r="BA42" s="827"/>
      <c r="BB42" s="827"/>
      <c r="BC42" s="827"/>
      <c r="BD42" s="827"/>
      <c r="BE42" s="827"/>
      <c r="BF42" s="827"/>
      <c r="BG42" s="828"/>
      <c r="BH42" s="138"/>
    </row>
    <row r="43" spans="2:60" ht="18.75" thickBot="1" x14ac:dyDescent="0.4">
      <c r="B43" s="136"/>
      <c r="C43" s="137"/>
      <c r="D43" s="116" t="s">
        <v>84</v>
      </c>
      <c r="E43" s="925" t="s">
        <v>85</v>
      </c>
      <c r="F43" s="926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909" t="s">
        <v>183</v>
      </c>
      <c r="V43" s="910"/>
      <c r="W43" s="132">
        <f>V87</f>
        <v>150.75068570632851</v>
      </c>
      <c r="X43" s="126" t="s">
        <v>73</v>
      </c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8"/>
      <c r="AT43" s="136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8"/>
    </row>
    <row r="44" spans="2:60" ht="18.75" thickBot="1" x14ac:dyDescent="0.4">
      <c r="B44" s="136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909" t="s">
        <v>183</v>
      </c>
      <c r="AO44" s="910"/>
      <c r="AP44" s="131">
        <f>AJ18*CO2_LOSS</f>
        <v>1.5075068570632852</v>
      </c>
      <c r="AQ44" s="126" t="s">
        <v>73</v>
      </c>
      <c r="AR44" s="138"/>
      <c r="AT44" s="136"/>
      <c r="AU44" s="137"/>
      <c r="AV44" s="137"/>
      <c r="AW44" s="137"/>
      <c r="AX44" s="137"/>
      <c r="AY44" s="137"/>
      <c r="AZ44" s="237" t="s">
        <v>213</v>
      </c>
      <c r="BA44" s="238" t="s">
        <v>214</v>
      </c>
      <c r="BB44" s="239" t="s">
        <v>215</v>
      </c>
      <c r="BC44" s="252"/>
      <c r="BD44" s="871" t="s">
        <v>216</v>
      </c>
      <c r="BE44" s="872"/>
      <c r="BF44" s="872"/>
      <c r="BG44" s="873"/>
      <c r="BH44" s="138"/>
    </row>
    <row r="45" spans="2:60" ht="15.75" thickBot="1" x14ac:dyDescent="0.3">
      <c r="B45" s="136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15" t="s">
        <v>75</v>
      </c>
      <c r="W45" s="106">
        <f>V87+EXT_YIELD*FEED</f>
        <v>151.33654145172753</v>
      </c>
      <c r="X45" s="103" t="s">
        <v>73</v>
      </c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8"/>
      <c r="AT45" s="136"/>
      <c r="AU45" s="888" t="s">
        <v>166</v>
      </c>
      <c r="AV45" s="889"/>
      <c r="AW45" s="889"/>
      <c r="AX45" s="890"/>
      <c r="AY45" s="224" t="s">
        <v>167</v>
      </c>
      <c r="AZ45" s="216">
        <f>AZ51/AZ49</f>
        <v>48.263301052178527</v>
      </c>
      <c r="BA45" s="209">
        <f>BA51/BA49</f>
        <v>48.263301052178527</v>
      </c>
      <c r="BB45" s="210">
        <f>BB51/BB49</f>
        <v>48.263301052178527</v>
      </c>
      <c r="BC45" s="137"/>
      <c r="BD45" s="886" t="s">
        <v>217</v>
      </c>
      <c r="BE45" s="887"/>
      <c r="BF45" s="246" t="s">
        <v>46</v>
      </c>
      <c r="BG45" s="247">
        <v>11.676253380903979</v>
      </c>
      <c r="BH45" s="138"/>
    </row>
    <row r="46" spans="2:60" ht="15.75" thickBot="1" x14ac:dyDescent="0.3">
      <c r="B46" s="13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14" t="s">
        <v>19</v>
      </c>
      <c r="W46" s="104">
        <f>V88-AE66</f>
        <v>2112.9983225806905</v>
      </c>
      <c r="X46" s="97" t="s">
        <v>3</v>
      </c>
      <c r="Y46" s="137"/>
      <c r="Z46" s="137"/>
      <c r="AA46" s="137"/>
      <c r="AB46" s="137"/>
      <c r="AC46" s="137"/>
      <c r="AD46" s="176"/>
      <c r="AE46" s="137"/>
      <c r="AF46" s="137"/>
      <c r="AG46" s="137"/>
      <c r="AH46" s="137"/>
      <c r="AI46" s="137"/>
      <c r="AJ46" s="137"/>
      <c r="AK46" s="137"/>
      <c r="AL46" s="137"/>
      <c r="AM46" s="137"/>
      <c r="AN46" s="909" t="s">
        <v>218</v>
      </c>
      <c r="AO46" s="910"/>
      <c r="AP46" s="130">
        <f>AJ22-AJ18</f>
        <v>0.58585574539901586</v>
      </c>
      <c r="AQ46" s="126" t="s">
        <v>73</v>
      </c>
      <c r="AR46" s="138"/>
      <c r="AT46" s="136"/>
      <c r="AU46" s="880" t="s">
        <v>170</v>
      </c>
      <c r="AV46" s="881"/>
      <c r="AW46" s="881"/>
      <c r="AX46" s="882"/>
      <c r="AY46" s="227" t="s">
        <v>171</v>
      </c>
      <c r="AZ46" s="228">
        <v>373.15</v>
      </c>
      <c r="BA46" s="229">
        <v>373.15</v>
      </c>
      <c r="BB46" s="230">
        <v>373.15</v>
      </c>
      <c r="BC46" s="137"/>
      <c r="BD46" s="886" t="s">
        <v>219</v>
      </c>
      <c r="BE46" s="887"/>
      <c r="BF46" s="246" t="s">
        <v>25</v>
      </c>
      <c r="BG46" s="248">
        <v>4</v>
      </c>
      <c r="BH46" s="138"/>
    </row>
    <row r="47" spans="2:60" x14ac:dyDescent="0.25">
      <c r="B47" s="136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14" t="s">
        <v>78</v>
      </c>
      <c r="W47" s="102">
        <f>AE64</f>
        <v>50</v>
      </c>
      <c r="X47" s="97" t="s">
        <v>6</v>
      </c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8"/>
      <c r="AT47" s="136"/>
      <c r="AU47" s="877" t="s">
        <v>174</v>
      </c>
      <c r="AV47" s="878"/>
      <c r="AW47" s="878"/>
      <c r="AX47" s="879"/>
      <c r="AY47" s="225" t="s">
        <v>167</v>
      </c>
      <c r="AZ47" s="218">
        <v>565</v>
      </c>
      <c r="BA47" s="206">
        <v>565</v>
      </c>
      <c r="BB47" s="212">
        <v>565</v>
      </c>
      <c r="BC47" s="137"/>
      <c r="BD47" s="886" t="s">
        <v>220</v>
      </c>
      <c r="BE47" s="887"/>
      <c r="BF47" s="246" t="s">
        <v>46</v>
      </c>
      <c r="BG47" s="247">
        <f>BG46*BG45</f>
        <v>46.705013523615918</v>
      </c>
      <c r="BH47" s="138"/>
    </row>
    <row r="48" spans="2:60" ht="16.5" x14ac:dyDescent="0.25">
      <c r="B48" s="136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14" t="s">
        <v>164</v>
      </c>
      <c r="W48" s="100" cm="1">
        <f t="array" ref="W48">DENSITY_ISOBAR(W47+273.15,CONVERT(W46,"psi","kPa"))</f>
        <v>688.63570912100761</v>
      </c>
      <c r="X48" s="97" t="s">
        <v>165</v>
      </c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8"/>
      <c r="AT48" s="136"/>
      <c r="AU48" s="880" t="s">
        <v>175</v>
      </c>
      <c r="AV48" s="881"/>
      <c r="AW48" s="881"/>
      <c r="AX48" s="882"/>
      <c r="AY48" s="227" t="s">
        <v>167</v>
      </c>
      <c r="AZ48" s="231">
        <v>248</v>
      </c>
      <c r="BA48" s="232">
        <v>248</v>
      </c>
      <c r="BB48" s="233">
        <v>248</v>
      </c>
      <c r="BC48" s="137"/>
      <c r="BD48" s="886" t="s">
        <v>221</v>
      </c>
      <c r="BE48" s="887"/>
      <c r="BF48" s="246" t="s">
        <v>46</v>
      </c>
      <c r="BG48" s="247">
        <f>5*BG47</f>
        <v>233.52506761807959</v>
      </c>
      <c r="BH48" s="138"/>
    </row>
    <row r="49" spans="2:60" x14ac:dyDescent="0.25">
      <c r="B49" s="136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14" t="s">
        <v>168</v>
      </c>
      <c r="W49" s="100" cm="1">
        <f t="array" ref="W49">HENTALPY(W47+273.15,W48)</f>
        <v>-190.76319479425419</v>
      </c>
      <c r="X49" s="97" t="s">
        <v>169</v>
      </c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8"/>
      <c r="AT49" s="136"/>
      <c r="AU49" s="877" t="s">
        <v>176</v>
      </c>
      <c r="AV49" s="878"/>
      <c r="AW49" s="878"/>
      <c r="AX49" s="879"/>
      <c r="AY49" s="225" t="s">
        <v>25</v>
      </c>
      <c r="AZ49" s="218">
        <v>1.2</v>
      </c>
      <c r="BA49" s="206">
        <v>1.2</v>
      </c>
      <c r="BB49" s="212">
        <v>1.2</v>
      </c>
      <c r="BC49" s="137"/>
      <c r="BD49" s="886" t="s">
        <v>222</v>
      </c>
      <c r="BE49" s="887"/>
      <c r="BF49" s="246" t="s">
        <v>46</v>
      </c>
      <c r="BG49" s="247">
        <f>5*BG47</f>
        <v>233.52506761807959</v>
      </c>
      <c r="BH49" s="138"/>
    </row>
    <row r="50" spans="2:60" ht="15" customHeight="1" x14ac:dyDescent="0.25">
      <c r="B50" s="136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14" t="s">
        <v>172</v>
      </c>
      <c r="W50" s="101" cm="1">
        <f t="array" ref="W50">ENTROPY(W47+273.15,W48)</f>
        <v>-1.3951260385766124</v>
      </c>
      <c r="X50" s="97" t="s">
        <v>173</v>
      </c>
      <c r="Y50" s="137"/>
      <c r="Z50" s="137"/>
      <c r="AA50" s="137"/>
      <c r="AB50" s="137"/>
      <c r="AC50" s="137"/>
      <c r="AD50" s="137"/>
      <c r="AE50" s="137"/>
      <c r="AF50" s="137"/>
      <c r="AG50" s="137"/>
      <c r="AH50" s="144" t="s">
        <v>223</v>
      </c>
      <c r="AI50" s="144"/>
      <c r="AJ50" s="144"/>
      <c r="AK50" s="144"/>
      <c r="AL50" s="144"/>
      <c r="AM50" s="633"/>
      <c r="AN50" s="633"/>
      <c r="AO50" s="633"/>
      <c r="AP50" s="633"/>
      <c r="AQ50" s="633"/>
      <c r="AR50" s="138"/>
      <c r="AT50" s="136"/>
      <c r="AU50" s="880" t="s">
        <v>177</v>
      </c>
      <c r="AV50" s="881"/>
      <c r="AW50" s="881"/>
      <c r="AX50" s="882"/>
      <c r="AY50" s="227" t="s">
        <v>25</v>
      </c>
      <c r="AZ50" s="231">
        <v>2</v>
      </c>
      <c r="BA50" s="232">
        <v>2</v>
      </c>
      <c r="BB50" s="233">
        <v>2</v>
      </c>
      <c r="BC50" s="137"/>
      <c r="BD50" s="886" t="s">
        <v>224</v>
      </c>
      <c r="BE50" s="887"/>
      <c r="BF50" s="246" t="s">
        <v>225</v>
      </c>
      <c r="BG50" s="249">
        <f>( (MASS_FLOW/156.43)*(1/3600) )/(0.25*PI()*(BG45/1000)^2)</f>
        <v>1.9999992561090145</v>
      </c>
      <c r="BH50" s="138"/>
    </row>
    <row r="51" spans="2:60" ht="15.75" customHeight="1" thickBot="1" x14ac:dyDescent="0.3"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16" t="s">
        <v>84</v>
      </c>
      <c r="W51" s="905" t="s">
        <v>226</v>
      </c>
      <c r="X51" s="906"/>
      <c r="Y51" s="137"/>
      <c r="Z51" s="137"/>
      <c r="AA51" s="137"/>
      <c r="AB51" s="137"/>
      <c r="AC51" s="137"/>
      <c r="AD51" s="137"/>
      <c r="AE51" s="137"/>
      <c r="AF51" s="137"/>
      <c r="AG51" s="137"/>
      <c r="AH51" s="144"/>
      <c r="AI51" s="144"/>
      <c r="AJ51" s="144"/>
      <c r="AK51" s="144"/>
      <c r="AL51" s="144"/>
      <c r="AM51" s="633"/>
      <c r="AN51" s="633"/>
      <c r="AO51" s="633"/>
      <c r="AP51" s="633"/>
      <c r="AQ51" s="633"/>
      <c r="AR51" s="138"/>
      <c r="AT51" s="136"/>
      <c r="AU51" s="877" t="s">
        <v>178</v>
      </c>
      <c r="AV51" s="878"/>
      <c r="AW51" s="878"/>
      <c r="AX51" s="879"/>
      <c r="AY51" s="225" t="s">
        <v>167</v>
      </c>
      <c r="AZ51" s="217">
        <f>CONVERT(8400,"psi","MPa")</f>
        <v>57.915961262614232</v>
      </c>
      <c r="BA51" s="207">
        <f>CONVERT(8400,"psi","MPa")</f>
        <v>57.915961262614232</v>
      </c>
      <c r="BB51" s="211">
        <f>CONVERT(8400,"psi","MPa")</f>
        <v>57.915961262614232</v>
      </c>
      <c r="BC51" s="137"/>
      <c r="BD51" s="886" t="s">
        <v>227</v>
      </c>
      <c r="BE51" s="887"/>
      <c r="BF51" s="246" t="s">
        <v>91</v>
      </c>
      <c r="BG51" s="249">
        <f>1000*0.25*PI()*(BG53/1000)*(BG52/1000)^2</f>
        <v>0.70000015170465335</v>
      </c>
      <c r="BH51" s="138"/>
    </row>
    <row r="52" spans="2:60" x14ac:dyDescent="0.25">
      <c r="B52" s="136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8"/>
      <c r="AT52" s="136"/>
      <c r="AU52" s="880" t="s">
        <v>179</v>
      </c>
      <c r="AV52" s="881"/>
      <c r="AW52" s="881"/>
      <c r="AX52" s="882"/>
      <c r="AY52" s="227" t="s">
        <v>25</v>
      </c>
      <c r="AZ52" s="234">
        <f>SQRT(3)*(AZ50^2)/((AZ50^2)-1)</f>
        <v>2.3094010767585029</v>
      </c>
      <c r="BA52" s="235">
        <f>SQRT(3)*(BA50^2)/((BA50^2)-1)</f>
        <v>2.3094010767585029</v>
      </c>
      <c r="BB52" s="236">
        <f>SQRT(3)*(BB50^2)/((BB50^2)-1)</f>
        <v>2.3094010767585029</v>
      </c>
      <c r="BC52" s="137"/>
      <c r="BD52" s="886" t="s">
        <v>228</v>
      </c>
      <c r="BE52" s="887"/>
      <c r="BF52" s="246" t="s">
        <v>46</v>
      </c>
      <c r="BG52" s="247">
        <v>96.235672217157102</v>
      </c>
      <c r="BH52" s="138"/>
    </row>
    <row r="53" spans="2:60" ht="15.75" thickBot="1" x14ac:dyDescent="0.3">
      <c r="B53" s="136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8"/>
      <c r="AT53" s="136"/>
      <c r="AU53" s="877" t="s">
        <v>180</v>
      </c>
      <c r="AV53" s="878"/>
      <c r="AW53" s="878"/>
      <c r="AX53" s="879"/>
      <c r="AY53" s="225" t="s">
        <v>167</v>
      </c>
      <c r="AZ53" s="219">
        <f>AZ48/AZ52</f>
        <v>107.3871500692704</v>
      </c>
      <c r="BA53" s="208">
        <f>BA48/BA52</f>
        <v>107.3871500692704</v>
      </c>
      <c r="BB53" s="213">
        <f>BB48/BB52</f>
        <v>107.3871500692704</v>
      </c>
      <c r="BC53" s="137"/>
      <c r="BD53" s="869" t="s">
        <v>229</v>
      </c>
      <c r="BE53" s="870"/>
      <c r="BF53" s="250" t="s">
        <v>46</v>
      </c>
      <c r="BG53" s="251">
        <f>BG52</f>
        <v>96.235672217157102</v>
      </c>
      <c r="BH53" s="138"/>
    </row>
    <row r="54" spans="2:60" x14ac:dyDescent="0.25">
      <c r="B54" s="136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8"/>
      <c r="AT54" s="136"/>
      <c r="AU54" s="880" t="s">
        <v>181</v>
      </c>
      <c r="AV54" s="881"/>
      <c r="AW54" s="881"/>
      <c r="AX54" s="882"/>
      <c r="AY54" s="227" t="s">
        <v>167</v>
      </c>
      <c r="AZ54" s="234">
        <f>4*SQRT(3)*AZ47/(15*AZ52)</f>
        <v>113.00000000000001</v>
      </c>
      <c r="BA54" s="235">
        <f>4*SQRT(3)*BA47/(15*BA52)</f>
        <v>113.00000000000001</v>
      </c>
      <c r="BB54" s="236">
        <f>4*SQRT(3)*BB47/(15*BB52)</f>
        <v>113.00000000000001</v>
      </c>
      <c r="BC54" s="137"/>
      <c r="BD54" s="137"/>
      <c r="BE54" s="137"/>
      <c r="BF54" s="137"/>
      <c r="BG54" s="137"/>
      <c r="BH54" s="138"/>
    </row>
    <row r="55" spans="2:60" x14ac:dyDescent="0.25">
      <c r="B55" s="136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253"/>
      <c r="AQ55" s="137"/>
      <c r="AR55" s="138"/>
      <c r="AT55" s="136"/>
      <c r="AU55" s="877" t="s">
        <v>182</v>
      </c>
      <c r="AV55" s="878"/>
      <c r="AW55" s="878"/>
      <c r="AX55" s="879"/>
      <c r="AY55" s="225" t="s">
        <v>46</v>
      </c>
      <c r="AZ55" s="219">
        <f>BG47/2</f>
        <v>23.352506761807959</v>
      </c>
      <c r="BA55" s="208">
        <f>BG47/2</f>
        <v>23.352506761807959</v>
      </c>
      <c r="BB55" s="213">
        <f>BG52/2</f>
        <v>48.117836108578551</v>
      </c>
      <c r="BC55" s="137"/>
      <c r="BD55" s="137"/>
      <c r="BE55" s="137"/>
      <c r="BF55" s="137"/>
      <c r="BG55" s="137"/>
      <c r="BH55" s="138"/>
    </row>
    <row r="56" spans="2:60" x14ac:dyDescent="0.25">
      <c r="B56" s="136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8"/>
      <c r="AT56" s="136"/>
      <c r="AU56" s="880" t="s">
        <v>184</v>
      </c>
      <c r="AV56" s="881"/>
      <c r="AW56" s="881"/>
      <c r="AX56" s="882"/>
      <c r="AY56" s="227" t="s">
        <v>46</v>
      </c>
      <c r="AZ56" s="234">
        <f>AZ55*AZ50</f>
        <v>46.705013523615918</v>
      </c>
      <c r="BA56" s="235">
        <f>BA55*BA50</f>
        <v>46.705013523615918</v>
      </c>
      <c r="BB56" s="236">
        <f>BB55*BB50</f>
        <v>96.235672217157102</v>
      </c>
      <c r="BC56" s="810"/>
      <c r="BD56" s="811"/>
      <c r="BE56" s="137"/>
      <c r="BF56" s="137"/>
      <c r="BG56" s="137"/>
      <c r="BH56" s="138"/>
    </row>
    <row r="57" spans="2:60" x14ac:dyDescent="0.25">
      <c r="B57" s="136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8"/>
      <c r="AT57" s="136"/>
      <c r="AU57" s="877" t="s">
        <v>185</v>
      </c>
      <c r="AV57" s="878"/>
      <c r="AW57" s="878"/>
      <c r="AX57" s="879"/>
      <c r="AY57" s="225" t="s">
        <v>46</v>
      </c>
      <c r="AZ57" s="219">
        <f>AZ56-AZ55</f>
        <v>23.352506761807959</v>
      </c>
      <c r="BA57" s="208">
        <f>BA56-BA55</f>
        <v>23.352506761807959</v>
      </c>
      <c r="BB57" s="213">
        <f>BB56-BB55</f>
        <v>48.117836108578551</v>
      </c>
      <c r="BC57" s="137"/>
      <c r="BD57" s="137"/>
      <c r="BE57" s="137"/>
      <c r="BF57" s="137"/>
      <c r="BG57" s="137"/>
      <c r="BH57" s="138"/>
    </row>
    <row r="58" spans="2:60" x14ac:dyDescent="0.25">
      <c r="B58" s="136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8"/>
      <c r="AT58" s="136"/>
      <c r="AU58" s="880" t="s">
        <v>187</v>
      </c>
      <c r="AV58" s="881"/>
      <c r="AW58" s="881"/>
      <c r="AX58" s="882"/>
      <c r="AY58" s="227" t="s">
        <v>167</v>
      </c>
      <c r="AZ58" s="234">
        <f>(2/3)*AZ48</f>
        <v>165.33333333333331</v>
      </c>
      <c r="BA58" s="235">
        <f>(2/3)*BA48</f>
        <v>165.33333333333331</v>
      </c>
      <c r="BB58" s="236">
        <f>(2/3)*BB48</f>
        <v>165.33333333333331</v>
      </c>
      <c r="BC58" s="137"/>
      <c r="BD58" s="137"/>
      <c r="BE58" s="137"/>
      <c r="BF58" s="137"/>
      <c r="BG58" s="137"/>
      <c r="BH58" s="138"/>
    </row>
    <row r="59" spans="2:60" x14ac:dyDescent="0.25">
      <c r="B59" s="136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8"/>
      <c r="AT59" s="136"/>
      <c r="AU59" s="877" t="s">
        <v>188</v>
      </c>
      <c r="AV59" s="878"/>
      <c r="AW59" s="878"/>
      <c r="AX59" s="879"/>
      <c r="AY59" s="225" t="s">
        <v>46</v>
      </c>
      <c r="AZ59" s="219">
        <f>2*AZ55*SQRT(0.4*AZ51/AZ58)</f>
        <v>17.482857649270422</v>
      </c>
      <c r="BA59" s="208">
        <f>2*BA55*SQRT(0.4*BA51/BA58)</f>
        <v>17.482857649270422</v>
      </c>
      <c r="BB59" s="213">
        <f>2*BB55*SQRT(0.4*BB51/BB58)</f>
        <v>36.023425136226109</v>
      </c>
      <c r="BC59" s="137"/>
      <c r="BD59" s="137"/>
      <c r="BE59" s="137"/>
      <c r="BF59" s="137"/>
      <c r="BG59" s="137"/>
      <c r="BH59" s="138"/>
    </row>
    <row r="60" spans="2:60" x14ac:dyDescent="0.25">
      <c r="B60" s="136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9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8"/>
      <c r="AT60" s="136"/>
      <c r="AU60" s="880" t="s">
        <v>190</v>
      </c>
      <c r="AV60" s="881"/>
      <c r="AW60" s="881"/>
      <c r="AX60" s="882"/>
      <c r="AY60" s="227" t="s">
        <v>46</v>
      </c>
      <c r="AZ60" s="240">
        <f>BG48+BG49</f>
        <v>467.05013523615918</v>
      </c>
      <c r="BA60" s="241">
        <f>BG48+BG49</f>
        <v>467.05013523615918</v>
      </c>
      <c r="BB60" s="242">
        <f>BG53</f>
        <v>96.235672217157102</v>
      </c>
      <c r="BC60" s="137"/>
      <c r="BD60" s="137"/>
      <c r="BE60" s="137"/>
      <c r="BF60" s="137"/>
      <c r="BG60" s="137"/>
      <c r="BH60" s="138"/>
    </row>
    <row r="61" spans="2:60" ht="15.75" thickBot="1" x14ac:dyDescent="0.3">
      <c r="B61" s="136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8"/>
      <c r="AT61" s="136"/>
      <c r="AU61" s="883" t="s">
        <v>192</v>
      </c>
      <c r="AV61" s="884"/>
      <c r="AW61" s="884"/>
      <c r="AX61" s="885"/>
      <c r="AY61" s="226" t="s">
        <v>46</v>
      </c>
      <c r="AZ61" s="243">
        <f>AZ60+2*AZ59</f>
        <v>502.01585053470001</v>
      </c>
      <c r="BA61" s="244">
        <f>BA60+2*BA59</f>
        <v>502.01585053470001</v>
      </c>
      <c r="BB61" s="245">
        <f>BB60+2*BB59</f>
        <v>168.28252248960933</v>
      </c>
      <c r="BC61" s="137"/>
      <c r="BD61" s="137"/>
      <c r="BE61" s="137"/>
      <c r="BF61" s="137"/>
      <c r="BG61" s="137"/>
      <c r="BH61" s="138"/>
    </row>
    <row r="62" spans="2:60" ht="15.75" thickBot="1" x14ac:dyDescent="0.3">
      <c r="B62" s="136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902" t="s">
        <v>230</v>
      </c>
      <c r="AC62" s="903"/>
      <c r="AD62" s="903"/>
      <c r="AE62" s="903"/>
      <c r="AF62" s="904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8"/>
      <c r="AT62" s="136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8"/>
    </row>
    <row r="63" spans="2:60" ht="15.75" thickBot="1" x14ac:dyDescent="0.3">
      <c r="B63" s="136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909" t="s">
        <v>231</v>
      </c>
      <c r="AC63" s="910"/>
      <c r="AD63" s="910"/>
      <c r="AE63" s="910"/>
      <c r="AF63" s="911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8"/>
      <c r="AT63" s="136"/>
      <c r="AU63" s="728" t="s">
        <v>196</v>
      </c>
      <c r="AV63" s="728"/>
      <c r="AW63" s="728"/>
      <c r="AX63" s="728"/>
      <c r="AY63" s="309" t="s">
        <v>46</v>
      </c>
      <c r="AZ63" s="309">
        <v>200</v>
      </c>
      <c r="BA63" s="309">
        <v>200</v>
      </c>
      <c r="BB63" s="321"/>
      <c r="BC63" s="137"/>
      <c r="BD63" s="137"/>
      <c r="BE63" s="137"/>
      <c r="BF63" s="137"/>
      <c r="BG63" s="137"/>
      <c r="BH63" s="138"/>
    </row>
    <row r="64" spans="2:60" x14ac:dyDescent="0.25">
      <c r="B64" s="136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914" t="s">
        <v>232</v>
      </c>
      <c r="AC64" s="915"/>
      <c r="AD64" s="916"/>
      <c r="AE64" s="121">
        <f>OPERATION_TEMP</f>
        <v>50</v>
      </c>
      <c r="AF64" s="96" t="s">
        <v>6</v>
      </c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8"/>
      <c r="AT64" s="136"/>
      <c r="AU64" s="728" t="s">
        <v>197</v>
      </c>
      <c r="AV64" s="728"/>
      <c r="AW64" s="728"/>
      <c r="AX64" s="728"/>
      <c r="AY64" s="309" t="s">
        <v>46</v>
      </c>
      <c r="AZ64" s="322">
        <f>ROUNDUP((AZ61+$BB$61)*AZ49,0)</f>
        <v>805</v>
      </c>
      <c r="BA64" s="322">
        <f>ROUNDUP((BA61+$BB$61)*BA49,0)</f>
        <v>805</v>
      </c>
      <c r="BB64" s="323"/>
      <c r="BC64" s="137"/>
      <c r="BD64" s="137"/>
      <c r="BE64" s="137"/>
      <c r="BF64" s="137"/>
      <c r="BG64" s="137"/>
      <c r="BH64" s="138"/>
    </row>
    <row r="65" spans="2:60" x14ac:dyDescent="0.25">
      <c r="B65" s="136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920" t="s">
        <v>233</v>
      </c>
      <c r="AC65" s="921"/>
      <c r="AD65" s="922"/>
      <c r="AE65" s="94">
        <f>OPERATION_PRESS+PRESSURE_ATM</f>
        <v>2113</v>
      </c>
      <c r="AF65" s="97" t="s">
        <v>3</v>
      </c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8"/>
      <c r="AT65" s="136"/>
      <c r="AU65" s="728" t="s">
        <v>198</v>
      </c>
      <c r="AV65" s="728"/>
      <c r="AW65" s="728"/>
      <c r="AX65" s="728"/>
      <c r="AY65" s="309" t="s">
        <v>46</v>
      </c>
      <c r="AZ65" s="309">
        <v>1500</v>
      </c>
      <c r="BA65" s="309">
        <v>1500</v>
      </c>
      <c r="BB65" s="321"/>
      <c r="BC65" s="137"/>
      <c r="BD65" s="137"/>
      <c r="BE65" s="137"/>
      <c r="BF65" s="137"/>
      <c r="BG65" s="137"/>
      <c r="BH65" s="138"/>
    </row>
    <row r="66" spans="2:60" ht="18.75" thickBot="1" x14ac:dyDescent="0.3">
      <c r="B66" s="136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917" t="s">
        <v>193</v>
      </c>
      <c r="AC66" s="918"/>
      <c r="AD66" s="919"/>
      <c r="AE66" s="123" cm="1">
        <f t="array" ref="AE66">CONVERT(PRESSURE_DROP_TOTAL(0,CONVERT(V88,"psi","Pa"),AE68*AE69,AE64+273.15,AVERAGE(MASS_FLOW/3600,W45/EXT_TIME/60),AE68,AE71,AE72,AE73),"Pa","psi")</f>
        <v>1.4179615826099969</v>
      </c>
      <c r="AF66" s="98" t="s">
        <v>194</v>
      </c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8"/>
      <c r="AT66" s="136"/>
      <c r="AU66" s="728" t="s">
        <v>200</v>
      </c>
      <c r="AV66" s="728"/>
      <c r="AW66" s="728"/>
      <c r="AX66" s="728"/>
      <c r="AY66" s="309" t="s">
        <v>89</v>
      </c>
      <c r="AZ66" s="311">
        <f>0.25*PI()*( (AZ63/1000)^2 )*( (AZ65/1000) )*7981.32566468245</f>
        <v>376.11111111111092</v>
      </c>
      <c r="BA66" s="311">
        <f t="shared" ref="BA66" si="18">0.25*PI()*( (BA63/1000)^2 )*( (BA65/1000) )*7981.32566468245</f>
        <v>376.11111111111092</v>
      </c>
      <c r="BB66" s="324"/>
      <c r="BC66" s="137"/>
      <c r="BD66" s="137"/>
      <c r="BE66" s="137"/>
      <c r="BF66" s="137"/>
      <c r="BG66" s="137"/>
      <c r="BH66" s="138"/>
    </row>
    <row r="67" spans="2:60" ht="15.75" thickBot="1" x14ac:dyDescent="0.3">
      <c r="B67" s="136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909" t="s">
        <v>234</v>
      </c>
      <c r="AC67" s="910"/>
      <c r="AD67" s="910"/>
      <c r="AE67" s="910"/>
      <c r="AF67" s="911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8"/>
      <c r="AT67" s="136"/>
      <c r="AU67" s="728" t="s">
        <v>201</v>
      </c>
      <c r="AV67" s="728"/>
      <c r="AW67" s="728"/>
      <c r="AX67" s="728"/>
      <c r="AY67" s="309" t="s">
        <v>96</v>
      </c>
      <c r="AZ67" s="312">
        <f>AZ66*3.56</f>
        <v>1338.9555555555548</v>
      </c>
      <c r="BA67" s="312">
        <f t="shared" ref="BA67" si="19">BA66*3.56</f>
        <v>1338.9555555555548</v>
      </c>
      <c r="BB67" s="325"/>
      <c r="BC67" s="137"/>
      <c r="BD67" s="137"/>
      <c r="BE67" s="137"/>
      <c r="BF67" s="137"/>
      <c r="BG67" s="137"/>
      <c r="BH67" s="138"/>
    </row>
    <row r="68" spans="2:60" x14ac:dyDescent="0.25">
      <c r="B68" s="136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914" t="s">
        <v>235</v>
      </c>
      <c r="AC68" s="915"/>
      <c r="AD68" s="916"/>
      <c r="AE68" s="122">
        <f>EXTRACTOR_DIAMETER/1000</f>
        <v>0.14474000000000004</v>
      </c>
      <c r="AF68" s="96" t="s">
        <v>236</v>
      </c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8"/>
      <c r="AT68" s="136"/>
      <c r="AU68" s="728" t="s">
        <v>202</v>
      </c>
      <c r="AV68" s="728"/>
      <c r="AW68" s="728"/>
      <c r="AX68" s="728"/>
      <c r="AY68" s="309" t="s">
        <v>96</v>
      </c>
      <c r="AZ68" s="313">
        <f>AZ66*(175/4137.1)</f>
        <v>15.909560910890335</v>
      </c>
      <c r="BA68" s="313">
        <f t="shared" ref="BA68" si="20">BA66*(175/4137.1)</f>
        <v>15.909560910890335</v>
      </c>
      <c r="BB68" s="325"/>
      <c r="BC68" s="137"/>
      <c r="BD68" s="137"/>
      <c r="BE68" s="137"/>
      <c r="BF68" s="137"/>
      <c r="BG68" s="137"/>
      <c r="BH68" s="138"/>
    </row>
    <row r="69" spans="2:60" ht="15.75" thickBot="1" x14ac:dyDescent="0.3">
      <c r="B69" s="136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917" t="s">
        <v>7</v>
      </c>
      <c r="AC69" s="918"/>
      <c r="AD69" s="919"/>
      <c r="AE69" s="120">
        <v>10</v>
      </c>
      <c r="AF69" s="98" t="s">
        <v>25</v>
      </c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8"/>
      <c r="AT69" s="136"/>
      <c r="AU69" s="728" t="s">
        <v>60</v>
      </c>
      <c r="AV69" s="728"/>
      <c r="AW69" s="728"/>
      <c r="AX69" s="728"/>
      <c r="AY69" s="309" t="s">
        <v>25</v>
      </c>
      <c r="AZ69" s="314">
        <v>0.19</v>
      </c>
      <c r="BA69" s="314">
        <v>0.19</v>
      </c>
      <c r="BB69" s="326"/>
      <c r="BC69" s="137"/>
      <c r="BD69" s="137"/>
      <c r="BE69" s="137"/>
      <c r="BF69" s="137"/>
      <c r="BG69" s="137"/>
      <c r="BH69" s="138"/>
    </row>
    <row r="70" spans="2:60" ht="15.75" thickBot="1" x14ac:dyDescent="0.3">
      <c r="B70" s="136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909" t="s">
        <v>237</v>
      </c>
      <c r="AC70" s="910"/>
      <c r="AD70" s="910"/>
      <c r="AE70" s="910"/>
      <c r="AF70" s="911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8"/>
      <c r="AT70" s="136"/>
      <c r="AU70" s="728" t="s">
        <v>203</v>
      </c>
      <c r="AV70" s="728"/>
      <c r="AW70" s="728"/>
      <c r="AX70" s="728"/>
      <c r="AY70" s="309" t="s">
        <v>96</v>
      </c>
      <c r="AZ70" s="313">
        <f>AZ67+AZ68</f>
        <v>1354.8651164664452</v>
      </c>
      <c r="BA70" s="313">
        <f t="shared" ref="BA70" si="21">BA67+BA68</f>
        <v>1354.8651164664452</v>
      </c>
      <c r="BB70" s="327"/>
      <c r="BC70" s="137"/>
      <c r="BD70" s="137"/>
      <c r="BE70" s="137"/>
      <c r="BF70" s="137"/>
      <c r="BG70" s="137"/>
      <c r="BH70" s="138"/>
    </row>
    <row r="71" spans="2:60" x14ac:dyDescent="0.25">
      <c r="B71" s="136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914" t="s">
        <v>238</v>
      </c>
      <c r="AC71" s="915"/>
      <c r="AD71" s="916"/>
      <c r="AE71" s="95">
        <f>BED_VOID_FRACTION</f>
        <v>0.6</v>
      </c>
      <c r="AF71" s="96" t="s">
        <v>25</v>
      </c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8"/>
      <c r="AT71" s="136"/>
      <c r="AU71" s="728" t="s">
        <v>204</v>
      </c>
      <c r="AV71" s="728"/>
      <c r="AW71" s="728"/>
      <c r="AX71" s="728"/>
      <c r="AY71" s="309" t="s">
        <v>96</v>
      </c>
      <c r="AZ71" s="313">
        <f>(1+AZ69)*AZ70</f>
        <v>1612.2894885950698</v>
      </c>
      <c r="BA71" s="313">
        <f t="shared" ref="BA71" si="22">(1+BA69)*BA70</f>
        <v>1612.2894885950698</v>
      </c>
      <c r="BB71" s="328"/>
      <c r="BC71" s="137"/>
      <c r="BD71" s="137"/>
      <c r="BE71" s="137"/>
      <c r="BF71" s="137"/>
      <c r="BG71" s="137"/>
      <c r="BH71" s="138"/>
    </row>
    <row r="72" spans="2:60" x14ac:dyDescent="0.25">
      <c r="B72" s="136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920" t="s">
        <v>45</v>
      </c>
      <c r="AC72" s="921"/>
      <c r="AD72" s="922"/>
      <c r="AE72" s="94">
        <f>BED_PARTICLE_DIAMETER</f>
        <v>0.89</v>
      </c>
      <c r="AF72" s="97" t="s">
        <v>46</v>
      </c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8"/>
      <c r="AT72" s="136"/>
      <c r="AU72" s="317"/>
      <c r="AV72" s="317"/>
      <c r="AW72" s="317"/>
      <c r="AX72" s="317"/>
      <c r="AY72" s="317"/>
      <c r="AZ72" s="246"/>
      <c r="BA72" s="246"/>
      <c r="BB72" s="137"/>
      <c r="BC72" s="137"/>
      <c r="BD72" s="137"/>
      <c r="BE72" s="137"/>
      <c r="BF72" s="137"/>
      <c r="BG72" s="137"/>
      <c r="BH72" s="138"/>
    </row>
    <row r="73" spans="2:60" ht="15.75" thickBot="1" x14ac:dyDescent="0.3">
      <c r="B73" s="136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917" t="s">
        <v>239</v>
      </c>
      <c r="AC73" s="918"/>
      <c r="AD73" s="919"/>
      <c r="AE73" s="120">
        <f>BED_SHAPE_FACTOR</f>
        <v>1</v>
      </c>
      <c r="AF73" s="98" t="s">
        <v>25</v>
      </c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8"/>
      <c r="AT73" s="136"/>
      <c r="AU73" s="728" t="s">
        <v>205</v>
      </c>
      <c r="AV73" s="728"/>
      <c r="AW73" s="728"/>
      <c r="AX73" s="728"/>
      <c r="AY73" s="309" t="s">
        <v>96</v>
      </c>
      <c r="AZ73" s="313">
        <v>1500</v>
      </c>
      <c r="BA73" s="313">
        <v>1500</v>
      </c>
      <c r="BB73" s="327"/>
      <c r="BC73" s="137"/>
      <c r="BD73" s="137"/>
      <c r="BE73" s="137"/>
      <c r="BF73" s="137"/>
      <c r="BG73" s="137"/>
      <c r="BH73" s="138"/>
    </row>
    <row r="74" spans="2:60" ht="15.75" thickBot="1" x14ac:dyDescent="0.3">
      <c r="B74" s="136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8"/>
      <c r="AT74" s="136"/>
      <c r="AU74" s="728" t="s">
        <v>208</v>
      </c>
      <c r="AV74" s="728"/>
      <c r="AW74" s="728"/>
      <c r="AX74" s="728"/>
      <c r="AY74" s="309" t="s">
        <v>96</v>
      </c>
      <c r="AZ74" s="313">
        <f>AZ73</f>
        <v>1500</v>
      </c>
      <c r="BA74" s="313">
        <f>BA73</f>
        <v>1500</v>
      </c>
      <c r="BB74" s="327"/>
      <c r="BC74" s="137"/>
      <c r="BD74" s="137"/>
      <c r="BE74" s="137"/>
      <c r="BF74" s="137"/>
      <c r="BG74" s="137"/>
      <c r="BH74" s="138"/>
    </row>
    <row r="75" spans="2:60" ht="15.75" thickBot="1" x14ac:dyDescent="0.3">
      <c r="B75" s="136"/>
      <c r="C75" s="137"/>
      <c r="D75" s="137"/>
      <c r="E75" s="137"/>
      <c r="F75" s="137"/>
      <c r="G75" s="137"/>
      <c r="H75" s="137"/>
      <c r="I75" s="137"/>
      <c r="J75" s="902" t="s">
        <v>240</v>
      </c>
      <c r="K75" s="903"/>
      <c r="L75" s="903"/>
      <c r="M75" s="903"/>
      <c r="N75" s="904"/>
      <c r="O75" s="137"/>
      <c r="P75" s="137"/>
      <c r="Q75" s="902" t="s">
        <v>189</v>
      </c>
      <c r="R75" s="912"/>
      <c r="S75" s="912"/>
      <c r="T75" s="913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8"/>
      <c r="AT75" s="136"/>
      <c r="AU75" s="317"/>
      <c r="AV75" s="317"/>
      <c r="AW75" s="317"/>
      <c r="AX75" s="317"/>
      <c r="AY75" s="317"/>
      <c r="AZ75" s="246"/>
      <c r="BA75" s="246"/>
      <c r="BB75" s="137"/>
      <c r="BC75" s="137"/>
      <c r="BD75" s="137"/>
      <c r="BE75" s="137"/>
      <c r="BF75" s="137"/>
      <c r="BG75" s="137"/>
      <c r="BH75" s="138"/>
    </row>
    <row r="76" spans="2:60" ht="15.75" thickBot="1" x14ac:dyDescent="0.3">
      <c r="B76" s="136"/>
      <c r="C76" s="137"/>
      <c r="D76" s="137"/>
      <c r="E76" s="137"/>
      <c r="F76" s="137"/>
      <c r="G76" s="137"/>
      <c r="H76" s="137"/>
      <c r="I76" s="137"/>
      <c r="J76" s="923" t="s">
        <v>209</v>
      </c>
      <c r="K76" s="927"/>
      <c r="L76" s="924"/>
      <c r="M76" s="124">
        <v>2123.4162841633006</v>
      </c>
      <c r="N76" s="96" t="s">
        <v>3</v>
      </c>
      <c r="O76" s="137"/>
      <c r="P76" s="137"/>
      <c r="Q76" s="923" t="s">
        <v>191</v>
      </c>
      <c r="R76" s="924"/>
      <c r="S76" s="119">
        <f>AE64</f>
        <v>50</v>
      </c>
      <c r="T76" s="99" t="s">
        <v>6</v>
      </c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795" t="s">
        <v>144</v>
      </c>
      <c r="AM76" s="796"/>
      <c r="AN76" s="796"/>
      <c r="AO76" s="796"/>
      <c r="AP76" s="796"/>
      <c r="AQ76" s="797"/>
      <c r="AR76" s="138"/>
      <c r="AT76" s="136"/>
      <c r="AU76" s="728" t="s">
        <v>210</v>
      </c>
      <c r="AV76" s="728"/>
      <c r="AW76" s="728"/>
      <c r="AX76" s="728"/>
      <c r="AY76" s="309" t="s">
        <v>96</v>
      </c>
      <c r="AZ76" s="313">
        <f>SUM(AZ74,AZ71)</f>
        <v>3112.28948859507</v>
      </c>
      <c r="BA76" s="313">
        <f>SUM(BA74,BA71)</f>
        <v>3112.28948859507</v>
      </c>
      <c r="BB76" s="327"/>
      <c r="BC76" s="137"/>
      <c r="BD76" s="137"/>
      <c r="BE76" s="137"/>
      <c r="BF76" s="137"/>
      <c r="BG76" s="137"/>
      <c r="BH76" s="138"/>
    </row>
    <row r="77" spans="2:60" x14ac:dyDescent="0.25">
      <c r="B77" s="136"/>
      <c r="C77" s="137"/>
      <c r="D77" s="137"/>
      <c r="E77" s="137"/>
      <c r="F77" s="137"/>
      <c r="G77" s="137"/>
      <c r="H77" s="137"/>
      <c r="I77" s="137"/>
      <c r="J77" s="109" t="s">
        <v>10</v>
      </c>
      <c r="K77" s="110"/>
      <c r="L77" s="111"/>
      <c r="M77" s="94">
        <f>PUMP_EFFICIENCY</f>
        <v>0.85</v>
      </c>
      <c r="N77" s="97" t="s">
        <v>25</v>
      </c>
      <c r="O77" s="137"/>
      <c r="P77" s="137"/>
      <c r="Q77" s="920" t="s">
        <v>193</v>
      </c>
      <c r="R77" s="922"/>
      <c r="S77" s="102">
        <f>HEX_PDROP</f>
        <v>9</v>
      </c>
      <c r="T77" s="97" t="s">
        <v>194</v>
      </c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798" t="s">
        <v>146</v>
      </c>
      <c r="AM77" s="798"/>
      <c r="AN77" s="798"/>
      <c r="AO77" s="798"/>
      <c r="AP77" s="178">
        <f>(S78+AF25)*ENERGY_FACTOR+M80</f>
        <v>12.992271758488553</v>
      </c>
      <c r="AQ77" s="177" t="s">
        <v>116</v>
      </c>
      <c r="AR77" s="138"/>
      <c r="AT77" s="136"/>
      <c r="AU77" s="735" t="s">
        <v>211</v>
      </c>
      <c r="AV77" s="735"/>
      <c r="AW77" s="735"/>
      <c r="AX77" s="735"/>
      <c r="AY77" s="319" t="s">
        <v>96</v>
      </c>
      <c r="AZ77" s="329">
        <f>AZ76*COST_FACTOR</f>
        <v>3423.5184374545775</v>
      </c>
      <c r="BA77" s="329">
        <f>BA76*COST_FACTOR</f>
        <v>3423.5184374545775</v>
      </c>
      <c r="BB77" s="328"/>
      <c r="BC77" s="137"/>
      <c r="BD77" s="137"/>
      <c r="BE77" s="137"/>
      <c r="BF77" s="137"/>
      <c r="BG77" s="137"/>
      <c r="BH77" s="138"/>
    </row>
    <row r="78" spans="2:60" ht="15.75" thickBot="1" x14ac:dyDescent="0.3">
      <c r="B78" s="136"/>
      <c r="C78" s="137"/>
      <c r="D78" s="137"/>
      <c r="E78" s="137"/>
      <c r="F78" s="137"/>
      <c r="G78" s="137"/>
      <c r="H78" s="137"/>
      <c r="I78" s="137"/>
      <c r="J78" s="920" t="s">
        <v>241</v>
      </c>
      <c r="K78" s="921"/>
      <c r="L78" s="922"/>
      <c r="M78" s="100">
        <v>0.20425298669248751</v>
      </c>
      <c r="N78" s="97" t="s">
        <v>25</v>
      </c>
      <c r="O78" s="137"/>
      <c r="P78" s="137"/>
      <c r="Q78" s="917" t="s">
        <v>195</v>
      </c>
      <c r="R78" s="919"/>
      <c r="S78" s="118">
        <f>(V87/EXT_TIME/60)*(V91-O91)</f>
        <v>3.1802558100653147</v>
      </c>
      <c r="T78" s="98" t="s">
        <v>116</v>
      </c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798" t="s">
        <v>147</v>
      </c>
      <c r="AM78" s="798"/>
      <c r="AN78" s="798"/>
      <c r="AO78" s="798"/>
      <c r="AP78" s="179">
        <f>AP77*(EXT_TIME/60)</f>
        <v>16.240339698110692</v>
      </c>
      <c r="AQ78" s="177" t="s">
        <v>242</v>
      </c>
      <c r="AR78" s="138"/>
      <c r="AT78" s="136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8"/>
    </row>
    <row r="79" spans="2:60" ht="15.75" thickBot="1" x14ac:dyDescent="0.3">
      <c r="B79" s="136"/>
      <c r="C79" s="137"/>
      <c r="D79" s="137"/>
      <c r="E79" s="137"/>
      <c r="F79" s="137"/>
      <c r="G79" s="137"/>
      <c r="H79" s="137"/>
      <c r="I79" s="137"/>
      <c r="J79" s="928" t="s">
        <v>243</v>
      </c>
      <c r="K79" s="929"/>
      <c r="L79" s="930"/>
      <c r="M79" s="117">
        <f>(O91-I91)*(I87/EXT_TIME/60)</f>
        <v>0.37097000784806611</v>
      </c>
      <c r="N79" s="108" t="s">
        <v>116</v>
      </c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891"/>
      <c r="AM79" s="891"/>
      <c r="AN79" s="891"/>
      <c r="AO79" s="891"/>
      <c r="AP79" s="204">
        <f>N_EXTRACTION_PER_OPERDAY*AP78</f>
        <v>308.56645426410313</v>
      </c>
      <c r="AQ79" s="177" t="s">
        <v>244</v>
      </c>
      <c r="AR79" s="138"/>
      <c r="AT79" s="136"/>
      <c r="AU79" s="826" t="s">
        <v>245</v>
      </c>
      <c r="AV79" s="827"/>
      <c r="AW79" s="827"/>
      <c r="AX79" s="827"/>
      <c r="AY79" s="827"/>
      <c r="AZ79" s="827"/>
      <c r="BA79" s="827"/>
      <c r="BB79" s="827"/>
      <c r="BC79" s="827"/>
      <c r="BD79" s="827"/>
      <c r="BE79" s="827"/>
      <c r="BF79" s="827"/>
      <c r="BG79" s="828"/>
      <c r="BH79" s="138"/>
    </row>
    <row r="80" spans="2:60" ht="15.75" thickBot="1" x14ac:dyDescent="0.3">
      <c r="B80" s="136"/>
      <c r="C80" s="137"/>
      <c r="D80" s="137"/>
      <c r="E80" s="137"/>
      <c r="F80" s="137"/>
      <c r="G80" s="137"/>
      <c r="H80" s="137"/>
      <c r="I80" s="137"/>
      <c r="J80" s="917" t="s">
        <v>115</v>
      </c>
      <c r="K80" s="918"/>
      <c r="L80" s="919"/>
      <c r="M80" s="107">
        <f>M79/M78</f>
        <v>1.8162280701754385</v>
      </c>
      <c r="N80" s="98" t="s">
        <v>116</v>
      </c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77"/>
      <c r="AM80" s="177"/>
      <c r="AN80" s="177"/>
      <c r="AO80" s="177"/>
      <c r="AP80" s="205">
        <f>AP79*OPER_YEAR</f>
        <v>105221.16090405917</v>
      </c>
      <c r="AQ80" s="177" t="s">
        <v>148</v>
      </c>
      <c r="AR80" s="138"/>
      <c r="AT80" s="136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8"/>
    </row>
    <row r="81" spans="2:60" ht="15.75" thickBot="1" x14ac:dyDescent="0.3">
      <c r="B81" s="136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8"/>
      <c r="AT81" s="136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8"/>
    </row>
    <row r="82" spans="2:60" ht="15.75" thickBot="1" x14ac:dyDescent="0.3">
      <c r="B82" s="136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795" t="s">
        <v>246</v>
      </c>
      <c r="AB82" s="796"/>
      <c r="AC82" s="796"/>
      <c r="AD82" s="796"/>
      <c r="AE82" s="796"/>
      <c r="AF82" s="796"/>
      <c r="AG82" s="796"/>
      <c r="AH82" s="796"/>
      <c r="AI82" s="796"/>
      <c r="AJ82" s="796"/>
      <c r="AK82" s="796"/>
      <c r="AL82" s="796"/>
      <c r="AM82" s="796"/>
      <c r="AN82" s="796"/>
      <c r="AO82" s="796"/>
      <c r="AP82" s="796"/>
      <c r="AQ82" s="797"/>
      <c r="AR82" s="138"/>
      <c r="AT82" s="136"/>
      <c r="AU82" s="862" t="s">
        <v>247</v>
      </c>
      <c r="AV82" s="863"/>
      <c r="AW82" s="863"/>
      <c r="AX82" s="864"/>
      <c r="AY82" s="221" t="s">
        <v>236</v>
      </c>
      <c r="AZ82" s="255">
        <f>3.175/1000</f>
        <v>3.1749999999999999E-3</v>
      </c>
      <c r="BA82" s="137">
        <f>AZ82*1000</f>
        <v>3.1749999999999998</v>
      </c>
      <c r="BB82" s="696">
        <f>BA82/25.4</f>
        <v>0.125</v>
      </c>
      <c r="BC82" s="137"/>
      <c r="BD82" s="137">
        <f>BA82/10</f>
        <v>0.3175</v>
      </c>
      <c r="BE82" s="137"/>
      <c r="BF82" s="137"/>
      <c r="BG82" s="137"/>
      <c r="BH82" s="138"/>
    </row>
    <row r="83" spans="2:60" ht="15.75" thickBot="1" x14ac:dyDescent="0.3">
      <c r="B83" s="136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8"/>
      <c r="AT83" s="136"/>
      <c r="AU83" s="855" t="s">
        <v>248</v>
      </c>
      <c r="AV83" s="856"/>
      <c r="AW83" s="856"/>
      <c r="AX83" s="857"/>
      <c r="AY83" s="222" t="s">
        <v>236</v>
      </c>
      <c r="AZ83" s="256">
        <f>6.35/1000</f>
        <v>6.3499999999999997E-3</v>
      </c>
      <c r="BA83" s="137">
        <f t="shared" ref="BA83:BA84" si="23">AZ83*1000</f>
        <v>6.35</v>
      </c>
      <c r="BB83" s="696">
        <f t="shared" ref="BB83:BB84" si="24">BA83/25.4</f>
        <v>0.25</v>
      </c>
      <c r="BC83" s="137"/>
      <c r="BD83" s="137">
        <f t="shared" ref="BD83:BD84" si="25">BA83/10</f>
        <v>0.63500000000000001</v>
      </c>
      <c r="BE83" s="137"/>
      <c r="BF83" s="137"/>
      <c r="BG83" s="137"/>
      <c r="BH83" s="138"/>
    </row>
    <row r="84" spans="2:60" ht="15.75" thickBot="1" x14ac:dyDescent="0.3">
      <c r="B84" s="136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46" t="s">
        <v>149</v>
      </c>
      <c r="AE84" s="145">
        <v>1</v>
      </c>
      <c r="AF84" s="145">
        <v>2</v>
      </c>
      <c r="AG84" s="145">
        <v>3</v>
      </c>
      <c r="AH84" s="145">
        <v>4</v>
      </c>
      <c r="AI84" s="145">
        <v>5</v>
      </c>
      <c r="AJ84" s="145">
        <v>6</v>
      </c>
      <c r="AK84" s="145">
        <v>7</v>
      </c>
      <c r="AL84" s="145">
        <v>8</v>
      </c>
      <c r="AM84" s="145">
        <v>9</v>
      </c>
      <c r="AN84" s="145">
        <v>10</v>
      </c>
      <c r="AO84" s="145">
        <v>11</v>
      </c>
      <c r="AP84" s="145">
        <v>12</v>
      </c>
      <c r="AQ84" s="103">
        <v>13</v>
      </c>
      <c r="AR84" s="138"/>
      <c r="AT84" s="136"/>
      <c r="AU84" s="855" t="s">
        <v>249</v>
      </c>
      <c r="AV84" s="856"/>
      <c r="AW84" s="856"/>
      <c r="AX84" s="857"/>
      <c r="AY84" s="222" t="s">
        <v>236</v>
      </c>
      <c r="AZ84" s="256">
        <f>12.7/1000</f>
        <v>1.2699999999999999E-2</v>
      </c>
      <c r="BA84" s="137">
        <f t="shared" si="23"/>
        <v>12.7</v>
      </c>
      <c r="BB84" s="696">
        <f t="shared" si="24"/>
        <v>0.5</v>
      </c>
      <c r="BC84" s="137"/>
      <c r="BD84" s="137">
        <f t="shared" si="25"/>
        <v>1.27</v>
      </c>
      <c r="BE84" s="137"/>
      <c r="BF84" s="137"/>
      <c r="BG84" s="137"/>
      <c r="BH84" s="138"/>
    </row>
    <row r="85" spans="2:60" ht="15.75" thickBot="1" x14ac:dyDescent="0.3">
      <c r="B85" s="136"/>
      <c r="C85" s="137"/>
      <c r="D85" s="137"/>
      <c r="E85" s="174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894" t="s">
        <v>150</v>
      </c>
      <c r="AB85" s="895"/>
      <c r="AC85" s="895"/>
      <c r="AD85" s="146"/>
      <c r="AE85" s="156" t="s">
        <v>161</v>
      </c>
      <c r="AF85" s="156" t="s">
        <v>250</v>
      </c>
      <c r="AG85" s="156" t="s">
        <v>251</v>
      </c>
      <c r="AH85" s="156" t="str">
        <f>AG86</f>
        <v>V-202A/B</v>
      </c>
      <c r="AI85" s="156" t="s">
        <v>252</v>
      </c>
      <c r="AJ85" s="156" t="s">
        <v>253</v>
      </c>
      <c r="AK85" s="156" t="str">
        <f>AJ86</f>
        <v>V-203A/B</v>
      </c>
      <c r="AL85" s="156" t="str">
        <f>AJ86</f>
        <v>V-203A/B</v>
      </c>
      <c r="AM85" s="156" t="s">
        <v>25</v>
      </c>
      <c r="AN85" s="156" t="s">
        <v>25</v>
      </c>
      <c r="AO85" s="156" t="s">
        <v>254</v>
      </c>
      <c r="AP85" s="156" t="s">
        <v>25</v>
      </c>
      <c r="AQ85" s="157" t="str">
        <f>AP86</f>
        <v>V-202A/B</v>
      </c>
      <c r="AR85" s="138"/>
      <c r="AT85" s="136"/>
      <c r="AU85" s="852" t="s">
        <v>255</v>
      </c>
      <c r="AV85" s="853"/>
      <c r="AW85" s="853"/>
      <c r="AX85" s="854"/>
      <c r="AY85" s="223" t="s">
        <v>236</v>
      </c>
      <c r="AZ85" s="257">
        <f>6.35/1000</f>
        <v>6.3499999999999997E-3</v>
      </c>
      <c r="BA85" s="137"/>
      <c r="BB85" s="137"/>
      <c r="BC85" s="137"/>
      <c r="BD85" s="137"/>
      <c r="BE85" s="137"/>
      <c r="BF85" s="137"/>
      <c r="BG85" s="137"/>
      <c r="BH85" s="138"/>
    </row>
    <row r="86" spans="2:60" ht="15.75" thickBot="1" x14ac:dyDescent="0.3">
      <c r="B86" s="136"/>
      <c r="C86" s="137"/>
      <c r="D86" s="137"/>
      <c r="E86" s="174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896" t="s">
        <v>151</v>
      </c>
      <c r="AB86" s="897"/>
      <c r="AC86" s="897"/>
      <c r="AD86" s="147"/>
      <c r="AE86" s="153" t="s">
        <v>250</v>
      </c>
      <c r="AF86" s="153" t="s">
        <v>251</v>
      </c>
      <c r="AG86" s="153" t="s">
        <v>153</v>
      </c>
      <c r="AH86" s="153" t="s">
        <v>252</v>
      </c>
      <c r="AI86" s="153" t="s">
        <v>253</v>
      </c>
      <c r="AJ86" s="153" t="s">
        <v>256</v>
      </c>
      <c r="AK86" s="153" t="s">
        <v>25</v>
      </c>
      <c r="AL86" s="153" t="s">
        <v>25</v>
      </c>
      <c r="AM86" s="153" t="s">
        <v>25</v>
      </c>
      <c r="AN86" s="153" t="s">
        <v>254</v>
      </c>
      <c r="AO86" s="153" t="s">
        <v>161</v>
      </c>
      <c r="AP86" s="153" t="str">
        <f>AG86</f>
        <v>V-202A/B</v>
      </c>
      <c r="AQ86" s="154" t="s">
        <v>25</v>
      </c>
      <c r="AR86" s="138"/>
      <c r="AT86" s="136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8"/>
    </row>
    <row r="87" spans="2:60" ht="18.75" thickBot="1" x14ac:dyDescent="0.4">
      <c r="B87" s="136"/>
      <c r="C87" s="137"/>
      <c r="D87" s="137"/>
      <c r="E87" s="175"/>
      <c r="F87" s="137"/>
      <c r="G87" s="137"/>
      <c r="H87" s="112" t="s">
        <v>75</v>
      </c>
      <c r="I87" s="105">
        <f>(MASS_FLOW/60)*EXT_TIME</f>
        <v>150.75068570632851</v>
      </c>
      <c r="J87" s="99" t="s">
        <v>73</v>
      </c>
      <c r="K87" s="137"/>
      <c r="L87" s="137"/>
      <c r="M87" s="137"/>
      <c r="N87" s="115" t="s">
        <v>75</v>
      </c>
      <c r="O87" s="106">
        <f>I87</f>
        <v>150.75068570632851</v>
      </c>
      <c r="P87" s="103" t="s">
        <v>73</v>
      </c>
      <c r="Q87" s="137"/>
      <c r="R87" s="137"/>
      <c r="S87" s="137"/>
      <c r="T87" s="137"/>
      <c r="U87" s="115" t="s">
        <v>75</v>
      </c>
      <c r="V87" s="106">
        <f>O87</f>
        <v>150.75068570632851</v>
      </c>
      <c r="W87" s="103" t="s">
        <v>73</v>
      </c>
      <c r="X87" s="137"/>
      <c r="Y87" s="137"/>
      <c r="Z87" s="137"/>
      <c r="AA87" s="896" t="s">
        <v>257</v>
      </c>
      <c r="AB87" s="897"/>
      <c r="AC87" s="897"/>
      <c r="AD87" s="147" t="s">
        <v>6</v>
      </c>
      <c r="AE87" s="158">
        <f>I89</f>
        <v>5</v>
      </c>
      <c r="AF87" s="158">
        <f>O89</f>
        <v>12.731886685381141</v>
      </c>
      <c r="AG87" s="158">
        <f>V89</f>
        <v>50</v>
      </c>
      <c r="AH87" s="158">
        <f>W47</f>
        <v>50</v>
      </c>
      <c r="AI87" s="158">
        <f>AA24</f>
        <v>22.064471196202533</v>
      </c>
      <c r="AJ87" s="158">
        <f>AJ24</f>
        <v>35</v>
      </c>
      <c r="AK87" s="158">
        <f>AJ24</f>
        <v>35</v>
      </c>
      <c r="AL87" s="158">
        <f>U6</f>
        <v>35</v>
      </c>
      <c r="AM87" s="158">
        <f>E6</f>
        <v>25</v>
      </c>
      <c r="AN87" s="158">
        <f>E18</f>
        <v>34.877294866159787</v>
      </c>
      <c r="AO87" s="158">
        <f>E39</f>
        <v>5</v>
      </c>
      <c r="AP87" s="158">
        <f>AMBIENT_TEMP</f>
        <v>25</v>
      </c>
      <c r="AQ87" s="172">
        <f>AMBIENT_TEMP</f>
        <v>25</v>
      </c>
      <c r="AR87" s="138"/>
      <c r="AT87" s="136"/>
      <c r="AU87" s="858" t="s">
        <v>258</v>
      </c>
      <c r="AV87" s="859"/>
      <c r="AW87" s="859"/>
      <c r="AX87" s="868"/>
      <c r="AY87" s="259" t="s">
        <v>259</v>
      </c>
      <c r="AZ87" s="260">
        <f>MASS_FLOW/3600</f>
        <v>3.3500152379184113E-2</v>
      </c>
      <c r="BA87" s="137"/>
      <c r="BB87" s="137"/>
      <c r="BC87" s="137"/>
      <c r="BD87" s="137"/>
      <c r="BE87" s="137"/>
      <c r="BF87" s="137"/>
      <c r="BG87" s="137"/>
      <c r="BH87" s="138"/>
    </row>
    <row r="88" spans="2:60" ht="15.75" thickBot="1" x14ac:dyDescent="0.3">
      <c r="B88" s="136"/>
      <c r="C88" s="137"/>
      <c r="D88" s="137"/>
      <c r="E88" s="137"/>
      <c r="F88" s="137"/>
      <c r="G88" s="137"/>
      <c r="H88" s="113" t="s">
        <v>19</v>
      </c>
      <c r="I88" s="95">
        <v>854</v>
      </c>
      <c r="J88" s="96" t="s">
        <v>3</v>
      </c>
      <c r="K88" s="137"/>
      <c r="L88" s="137"/>
      <c r="M88" s="137"/>
      <c r="N88" s="114" t="s">
        <v>19</v>
      </c>
      <c r="O88" s="104">
        <f>M76</f>
        <v>2123.4162841633006</v>
      </c>
      <c r="P88" s="97" t="s">
        <v>3</v>
      </c>
      <c r="Q88" s="137"/>
      <c r="R88" s="137"/>
      <c r="S88" s="137"/>
      <c r="T88" s="137"/>
      <c r="U88" s="114" t="s">
        <v>19</v>
      </c>
      <c r="V88" s="104">
        <f>O88-S77</f>
        <v>2114.4162841633006</v>
      </c>
      <c r="W88" s="97" t="s">
        <v>3</v>
      </c>
      <c r="X88" s="137"/>
      <c r="Y88" s="137"/>
      <c r="Z88" s="137"/>
      <c r="AA88" s="898" t="s">
        <v>154</v>
      </c>
      <c r="AB88" s="899"/>
      <c r="AC88" s="899"/>
      <c r="AD88" s="148" t="s">
        <v>3</v>
      </c>
      <c r="AE88" s="155">
        <f>I88</f>
        <v>854</v>
      </c>
      <c r="AF88" s="159">
        <f>O88</f>
        <v>2123.4162841633006</v>
      </c>
      <c r="AG88" s="159">
        <f>V88</f>
        <v>2114.4162841633006</v>
      </c>
      <c r="AH88" s="159">
        <f>W46</f>
        <v>2112.9983225806905</v>
      </c>
      <c r="AI88" s="159">
        <f>AA23</f>
        <v>872</v>
      </c>
      <c r="AJ88" s="159">
        <f>AJ23</f>
        <v>863</v>
      </c>
      <c r="AK88" s="159">
        <f>AJ23</f>
        <v>863</v>
      </c>
      <c r="AL88" s="159">
        <f>U5</f>
        <v>863</v>
      </c>
      <c r="AM88" s="159">
        <f>E5</f>
        <v>863</v>
      </c>
      <c r="AN88" s="159">
        <f>E17</f>
        <v>863</v>
      </c>
      <c r="AO88" s="159">
        <f>E38</f>
        <v>854</v>
      </c>
      <c r="AP88" s="159">
        <f>PRESSURE_ATM</f>
        <v>13</v>
      </c>
      <c r="AQ88" s="173">
        <f>PRESSURE_ATM</f>
        <v>13</v>
      </c>
      <c r="AR88" s="138"/>
      <c r="AT88" s="136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8"/>
    </row>
    <row r="89" spans="2:60" ht="18" x14ac:dyDescent="0.35">
      <c r="B89" s="136"/>
      <c r="C89" s="137"/>
      <c r="D89" s="137"/>
      <c r="E89" s="137"/>
      <c r="F89" s="137"/>
      <c r="G89" s="137"/>
      <c r="H89" s="114" t="s">
        <v>78</v>
      </c>
      <c r="I89" s="102">
        <v>5</v>
      </c>
      <c r="J89" s="97" t="s">
        <v>6</v>
      </c>
      <c r="K89" s="137"/>
      <c r="L89" s="137"/>
      <c r="M89" s="137"/>
      <c r="N89" s="114" t="s">
        <v>78</v>
      </c>
      <c r="O89" s="102" cm="1">
        <f t="array" ref="O89">ISENTROPY_COMPRESSION_TEMP(CONVERT(I88,"psi","kPa"),CONVERT(O88,"psi","kPa"),I89+273.15,M77)-273.15</f>
        <v>12.731886685381141</v>
      </c>
      <c r="P89" s="97" t="s">
        <v>6</v>
      </c>
      <c r="Q89" s="137"/>
      <c r="R89" s="137"/>
      <c r="S89" s="137"/>
      <c r="T89" s="137"/>
      <c r="U89" s="114" t="s">
        <v>78</v>
      </c>
      <c r="V89" s="102">
        <f>S76</f>
        <v>50</v>
      </c>
      <c r="W89" s="97" t="s">
        <v>6</v>
      </c>
      <c r="X89" s="137"/>
      <c r="Y89" s="137"/>
      <c r="Z89" s="137"/>
      <c r="AA89" s="900" t="s">
        <v>155</v>
      </c>
      <c r="AB89" s="901"/>
      <c r="AC89" s="901"/>
      <c r="AD89" s="149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2"/>
      <c r="AR89" s="138"/>
      <c r="AT89" s="136"/>
      <c r="AU89" s="862" t="s">
        <v>260</v>
      </c>
      <c r="AV89" s="863"/>
      <c r="AW89" s="863"/>
      <c r="AX89" s="867"/>
      <c r="AY89" s="221" t="s">
        <v>261</v>
      </c>
      <c r="AZ89" s="261">
        <f>ABS(E32)*1000</f>
        <v>7798.3668048724721</v>
      </c>
      <c r="BA89" s="137"/>
      <c r="BB89" s="137"/>
      <c r="BC89" s="137"/>
      <c r="BD89" s="137"/>
      <c r="BE89" s="137"/>
      <c r="BF89" s="137"/>
      <c r="BG89" s="137"/>
      <c r="BH89" s="138"/>
    </row>
    <row r="90" spans="2:60" ht="18" x14ac:dyDescent="0.35">
      <c r="B90" s="136"/>
      <c r="C90" s="137"/>
      <c r="D90" s="137"/>
      <c r="E90" s="137"/>
      <c r="F90" s="137"/>
      <c r="G90" s="137"/>
      <c r="H90" s="114" t="s">
        <v>164</v>
      </c>
      <c r="I90" s="100" cm="1">
        <f t="array" ref="I90">DENSITY_ISOBAR(I89+273.15,CONVERT(I88,"psi","kPa"))</f>
        <v>916.1265569861049</v>
      </c>
      <c r="J90" s="97" t="s">
        <v>165</v>
      </c>
      <c r="K90" s="137"/>
      <c r="L90" s="137"/>
      <c r="M90" s="137"/>
      <c r="N90" s="114" t="s">
        <v>164</v>
      </c>
      <c r="O90" s="100" cm="1">
        <f t="array" ref="O90">DENSITY_ISOBAR(O89+273.15,CONVERT(O88,"psi","kPa"))</f>
        <v>938.73840430770031</v>
      </c>
      <c r="P90" s="97" t="s">
        <v>165</v>
      </c>
      <c r="Q90" s="137"/>
      <c r="R90" s="137"/>
      <c r="S90" s="137"/>
      <c r="T90" s="137"/>
      <c r="U90" s="114" t="s">
        <v>164</v>
      </c>
      <c r="V90" s="100" cm="1">
        <f t="array" ref="V90">DENSITY_ISOBAR(V89+273.15,CONVERT(V88,"psi","kPa"))</f>
        <v>688.89965665736372</v>
      </c>
      <c r="W90" s="97" t="s">
        <v>165</v>
      </c>
      <c r="X90" s="137"/>
      <c r="Y90" s="137"/>
      <c r="Z90" s="137"/>
      <c r="AA90" s="896" t="s">
        <v>262</v>
      </c>
      <c r="AB90" s="897"/>
      <c r="AC90" s="897"/>
      <c r="AD90" s="147" t="s">
        <v>73</v>
      </c>
      <c r="AE90" s="160">
        <f>I87</f>
        <v>150.75068570632851</v>
      </c>
      <c r="AF90" s="160">
        <f>O87</f>
        <v>150.75068570632851</v>
      </c>
      <c r="AG90" s="160">
        <f>V87</f>
        <v>150.75068570632851</v>
      </c>
      <c r="AH90" s="160">
        <f>W43</f>
        <v>150.75068570632851</v>
      </c>
      <c r="AI90" s="160">
        <f>AA18</f>
        <v>150.75068570632851</v>
      </c>
      <c r="AJ90" s="160">
        <f>AJ18</f>
        <v>150.75068570632851</v>
      </c>
      <c r="AK90" s="163">
        <f>AP44</f>
        <v>1.5075068570632852</v>
      </c>
      <c r="AL90" s="160">
        <f>U4</f>
        <v>149.24317884926523</v>
      </c>
      <c r="AM90" s="163">
        <f>E4</f>
        <v>1.5075068570632852</v>
      </c>
      <c r="AN90" s="160">
        <f>E16</f>
        <v>150.75068570632851</v>
      </c>
      <c r="AO90" s="160">
        <f>E37</f>
        <v>150.75068570632851</v>
      </c>
      <c r="AP90" s="165">
        <v>0</v>
      </c>
      <c r="AQ90" s="168">
        <v>0</v>
      </c>
      <c r="AR90" s="138"/>
      <c r="AT90" s="136"/>
      <c r="AU90" s="855" t="s">
        <v>263</v>
      </c>
      <c r="AV90" s="856"/>
      <c r="AW90" s="856"/>
      <c r="AX90" s="866"/>
      <c r="AY90" s="222" t="s">
        <v>261</v>
      </c>
      <c r="AZ90" s="262">
        <f>( (  0.25*PI()*((2*AZ18/1000)^2)*(AZ23/1000) - 0.25*PI()*((2*AZ17/1000)^2)*(AZ22/1000)  )*8000 )*468*(25)/(15*60)</f>
        <v>8172.0647876179128</v>
      </c>
      <c r="BA90" s="137"/>
      <c r="BB90" s="137"/>
      <c r="BC90" s="137"/>
      <c r="BD90" s="137"/>
      <c r="BE90" s="137"/>
      <c r="BF90" s="137"/>
      <c r="BG90" s="137"/>
      <c r="BH90" s="138"/>
    </row>
    <row r="91" spans="2:60" x14ac:dyDescent="0.25">
      <c r="B91" s="136"/>
      <c r="C91" s="137"/>
      <c r="D91" s="137"/>
      <c r="E91" s="137"/>
      <c r="F91" s="137"/>
      <c r="G91" s="137"/>
      <c r="H91" s="114" t="s">
        <v>168</v>
      </c>
      <c r="I91" s="100" cm="1">
        <f t="array" ref="I91">HENTALPY(I89+273.15,I90)</f>
        <v>-296.81773045676238</v>
      </c>
      <c r="J91" s="97" t="s">
        <v>169</v>
      </c>
      <c r="K91" s="137"/>
      <c r="L91" s="137"/>
      <c r="M91" s="137"/>
      <c r="N91" s="114" t="s">
        <v>168</v>
      </c>
      <c r="O91" s="100" cm="1">
        <f t="array" ref="O91">HENTALPY(O89+273.15,O90)</f>
        <v>-285.74404924931287</v>
      </c>
      <c r="P91" s="97" t="s">
        <v>169</v>
      </c>
      <c r="Q91" s="137"/>
      <c r="R91" s="137"/>
      <c r="S91" s="137"/>
      <c r="T91" s="137"/>
      <c r="U91" s="114" t="s">
        <v>168</v>
      </c>
      <c r="V91" s="100" cm="1">
        <f t="array" ref="V91">HENTALPY(V89+273.15,V90)</f>
        <v>-190.81147180702575</v>
      </c>
      <c r="W91" s="97" t="s">
        <v>169</v>
      </c>
      <c r="X91" s="137"/>
      <c r="Y91" s="137"/>
      <c r="Z91" s="137"/>
      <c r="AA91" s="896" t="s">
        <v>264</v>
      </c>
      <c r="AB91" s="897"/>
      <c r="AC91" s="897"/>
      <c r="AD91" s="147" t="s">
        <v>73</v>
      </c>
      <c r="AE91" s="165">
        <v>0</v>
      </c>
      <c r="AF91" s="165">
        <v>0</v>
      </c>
      <c r="AG91" s="165">
        <v>0</v>
      </c>
      <c r="AH91" s="165">
        <v>0</v>
      </c>
      <c r="AI91" s="165">
        <v>0</v>
      </c>
      <c r="AJ91" s="165">
        <v>0</v>
      </c>
      <c r="AK91" s="165">
        <v>0</v>
      </c>
      <c r="AL91" s="165">
        <v>0</v>
      </c>
      <c r="AM91" s="165">
        <v>0</v>
      </c>
      <c r="AN91" s="165">
        <v>0</v>
      </c>
      <c r="AO91" s="165">
        <v>0</v>
      </c>
      <c r="AP91" s="163">
        <f>FEED - AP92 - (MOISTURE_FINAL*FEED)</f>
        <v>8.2800945349725588</v>
      </c>
      <c r="AQ91" s="170">
        <f>AP91</f>
        <v>8.2800945349725588</v>
      </c>
      <c r="AR91" s="138"/>
      <c r="AT91" s="136"/>
      <c r="AU91" s="855" t="s">
        <v>265</v>
      </c>
      <c r="AV91" s="856"/>
      <c r="AW91" s="856"/>
      <c r="AX91" s="866"/>
      <c r="AY91" s="222" t="s">
        <v>261</v>
      </c>
      <c r="AZ91" s="263">
        <f>AZ90+AZ89</f>
        <v>15970.431592490386</v>
      </c>
      <c r="BA91" s="137"/>
      <c r="BB91" s="137"/>
      <c r="BC91" s="137"/>
      <c r="BD91" s="137"/>
      <c r="BE91" s="137"/>
      <c r="BF91" s="137"/>
      <c r="BG91" s="137"/>
      <c r="BH91" s="138"/>
    </row>
    <row r="92" spans="2:60" ht="15.75" thickBot="1" x14ac:dyDescent="0.3">
      <c r="B92" s="136"/>
      <c r="C92" s="137"/>
      <c r="D92" s="137"/>
      <c r="E92" s="137"/>
      <c r="F92" s="137"/>
      <c r="G92" s="137"/>
      <c r="H92" s="114" t="s">
        <v>172</v>
      </c>
      <c r="I92" s="101" cm="1">
        <f t="array" ref="I92">ENTROPY(I89+273.15,I90)</f>
        <v>-1.7123206240649818</v>
      </c>
      <c r="J92" s="97" t="s">
        <v>173</v>
      </c>
      <c r="K92" s="137"/>
      <c r="L92" s="137"/>
      <c r="M92" s="137"/>
      <c r="N92" s="114" t="s">
        <v>172</v>
      </c>
      <c r="O92" s="101" cm="1">
        <f t="array" ref="O92">ENTROPY(O89+273.15,O90)</f>
        <v>-1.706502552362074</v>
      </c>
      <c r="P92" s="97" t="s">
        <v>173</v>
      </c>
      <c r="Q92" s="137"/>
      <c r="R92" s="137"/>
      <c r="S92" s="137"/>
      <c r="T92" s="137"/>
      <c r="U92" s="114" t="s">
        <v>172</v>
      </c>
      <c r="V92" s="101" cm="1">
        <f t="array" ref="V92">ENTROPY(V89+273.15,V90)</f>
        <v>-1.3953193581007688</v>
      </c>
      <c r="W92" s="97" t="s">
        <v>173</v>
      </c>
      <c r="X92" s="137"/>
      <c r="Y92" s="137"/>
      <c r="Z92" s="137"/>
      <c r="AA92" s="898" t="s">
        <v>266</v>
      </c>
      <c r="AB92" s="899"/>
      <c r="AC92" s="899"/>
      <c r="AD92" s="148" t="s">
        <v>73</v>
      </c>
      <c r="AE92" s="164">
        <v>0</v>
      </c>
      <c r="AF92" s="164">
        <v>0</v>
      </c>
      <c r="AG92" s="164">
        <v>0</v>
      </c>
      <c r="AH92" s="164">
        <f>W45-W43</f>
        <v>0.58585574539901586</v>
      </c>
      <c r="AI92" s="164">
        <f>AA22-AA18</f>
        <v>0.58585574539901586</v>
      </c>
      <c r="AJ92" s="164">
        <f>AJ22-AJ18</f>
        <v>0.58585574539901586</v>
      </c>
      <c r="AK92" s="164">
        <f>AP46</f>
        <v>0.58585574539901586</v>
      </c>
      <c r="AL92" s="164">
        <v>0</v>
      </c>
      <c r="AM92" s="164">
        <v>0</v>
      </c>
      <c r="AN92" s="164">
        <v>0</v>
      </c>
      <c r="AO92" s="164">
        <v>0</v>
      </c>
      <c r="AP92" s="164">
        <f>MAX_YIELD*FEED</f>
        <v>0.86497075906064014</v>
      </c>
      <c r="AQ92" s="171">
        <f>AP92-(EXT_YIELD*FEED)</f>
        <v>0.27911501366163838</v>
      </c>
      <c r="AR92" s="138"/>
      <c r="AT92" s="136"/>
      <c r="AU92" s="852" t="s">
        <v>267</v>
      </c>
      <c r="AV92" s="853"/>
      <c r="AW92" s="853"/>
      <c r="AX92" s="865"/>
      <c r="AY92" s="223" t="s">
        <v>259</v>
      </c>
      <c r="AZ92" s="264">
        <f>AZ91/(3729.95*6)</f>
        <v>0.71361240733747044</v>
      </c>
      <c r="BA92" s="137"/>
      <c r="BB92" s="137"/>
      <c r="BC92" s="137"/>
      <c r="BD92" s="137"/>
      <c r="BE92" s="137"/>
      <c r="BF92" s="137"/>
      <c r="BG92" s="137"/>
      <c r="BH92" s="138"/>
    </row>
    <row r="93" spans="2:60" ht="15.75" thickBot="1" x14ac:dyDescent="0.3">
      <c r="B93" s="136"/>
      <c r="C93" s="137"/>
      <c r="D93" s="137"/>
      <c r="E93" s="137"/>
      <c r="F93" s="137"/>
      <c r="G93" s="137"/>
      <c r="H93" s="116" t="s">
        <v>84</v>
      </c>
      <c r="I93" s="925" t="s">
        <v>85</v>
      </c>
      <c r="J93" s="926"/>
      <c r="K93" s="137"/>
      <c r="L93" s="137"/>
      <c r="M93" s="137"/>
      <c r="N93" s="116" t="s">
        <v>84</v>
      </c>
      <c r="O93" s="925" t="s">
        <v>85</v>
      </c>
      <c r="P93" s="926"/>
      <c r="Q93" s="137"/>
      <c r="R93" s="137"/>
      <c r="S93" s="137"/>
      <c r="T93" s="137"/>
      <c r="U93" s="116" t="s">
        <v>84</v>
      </c>
      <c r="V93" s="905" t="s">
        <v>226</v>
      </c>
      <c r="W93" s="906"/>
      <c r="X93" s="137"/>
      <c r="Y93" s="137"/>
      <c r="Z93" s="137"/>
      <c r="AA93" s="892" t="s">
        <v>159</v>
      </c>
      <c r="AB93" s="893"/>
      <c r="AC93" s="893"/>
      <c r="AD93" s="150" t="s">
        <v>73</v>
      </c>
      <c r="AE93" s="161">
        <f t="shared" ref="AE93:AQ93" si="26">SUM(AE90:AE92)</f>
        <v>150.75068570632851</v>
      </c>
      <c r="AF93" s="161">
        <f t="shared" si="26"/>
        <v>150.75068570632851</v>
      </c>
      <c r="AG93" s="161">
        <f t="shared" si="26"/>
        <v>150.75068570632851</v>
      </c>
      <c r="AH93" s="161">
        <f t="shared" si="26"/>
        <v>151.33654145172753</v>
      </c>
      <c r="AI93" s="161">
        <f t="shared" si="26"/>
        <v>151.33654145172753</v>
      </c>
      <c r="AJ93" s="161">
        <f t="shared" si="26"/>
        <v>151.33654145172753</v>
      </c>
      <c r="AK93" s="166">
        <f t="shared" si="26"/>
        <v>2.0933626024623013</v>
      </c>
      <c r="AL93" s="161">
        <f t="shared" si="26"/>
        <v>149.24317884926523</v>
      </c>
      <c r="AM93" s="161">
        <f t="shared" si="26"/>
        <v>1.5075068570632852</v>
      </c>
      <c r="AN93" s="161">
        <f t="shared" si="26"/>
        <v>150.75068570632851</v>
      </c>
      <c r="AO93" s="161">
        <f t="shared" si="26"/>
        <v>150.75068570632851</v>
      </c>
      <c r="AP93" s="166">
        <f t="shared" si="26"/>
        <v>9.1450652940331985</v>
      </c>
      <c r="AQ93" s="162">
        <f t="shared" si="26"/>
        <v>8.5592095486341968</v>
      </c>
      <c r="AR93" s="138"/>
      <c r="AT93" s="136"/>
      <c r="AU93" s="794"/>
      <c r="AV93" s="794"/>
      <c r="AW93" s="794"/>
      <c r="AX93" s="794"/>
      <c r="AY93" s="137"/>
      <c r="AZ93" s="137"/>
      <c r="BA93" s="137"/>
      <c r="BB93" s="137"/>
      <c r="BC93" s="137"/>
      <c r="BD93" s="137"/>
      <c r="BE93" s="137"/>
      <c r="BF93" s="137"/>
      <c r="BG93" s="137"/>
      <c r="BH93" s="138"/>
    </row>
    <row r="94" spans="2:60" ht="15.75" thickBot="1" x14ac:dyDescent="0.3">
      <c r="B94" s="136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8"/>
      <c r="AT94" s="136"/>
      <c r="AU94" s="794"/>
      <c r="AV94" s="794"/>
      <c r="AW94" s="794"/>
      <c r="AX94" s="794"/>
      <c r="AY94" s="137"/>
      <c r="AZ94" s="295" t="s">
        <v>268</v>
      </c>
      <c r="BA94" s="295" t="s">
        <v>269</v>
      </c>
      <c r="BB94" s="295" t="s">
        <v>270</v>
      </c>
      <c r="BC94" s="137"/>
      <c r="BD94" s="137"/>
      <c r="BE94" s="137"/>
      <c r="BF94" s="137"/>
      <c r="BG94" s="137"/>
      <c r="BH94" s="138"/>
    </row>
    <row r="95" spans="2:60" ht="15.75" thickBot="1" x14ac:dyDescent="0.3">
      <c r="B95" s="140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69"/>
      <c r="AQ95" s="141"/>
      <c r="AR95" s="142"/>
      <c r="AT95" s="136"/>
      <c r="AU95" s="858" t="s">
        <v>271</v>
      </c>
      <c r="AV95" s="859"/>
      <c r="AW95" s="859"/>
      <c r="AX95" s="859"/>
      <c r="AY95" s="859"/>
      <c r="AZ95" s="860"/>
      <c r="BA95" s="859"/>
      <c r="BB95" s="861"/>
      <c r="BC95" s="137"/>
      <c r="BD95" s="137"/>
      <c r="BE95" s="137"/>
      <c r="BF95" s="137"/>
      <c r="BG95" s="137"/>
      <c r="BH95" s="138"/>
    </row>
    <row r="96" spans="2:60" x14ac:dyDescent="0.25">
      <c r="AT96" s="136"/>
      <c r="AU96" s="849" t="s">
        <v>272</v>
      </c>
      <c r="AV96" s="850"/>
      <c r="AW96" s="850"/>
      <c r="AX96" s="851"/>
      <c r="AY96" s="221" t="s">
        <v>6</v>
      </c>
      <c r="AZ96" s="261">
        <f>E18</f>
        <v>34.877294866159787</v>
      </c>
      <c r="BA96" s="265">
        <f>AZ97</f>
        <v>21.39436025713178</v>
      </c>
      <c r="BB96" s="261">
        <f>BA97</f>
        <v>21.39436025713178</v>
      </c>
      <c r="BC96" s="137"/>
      <c r="BD96" s="137"/>
      <c r="BE96" s="137"/>
      <c r="BF96" s="137"/>
      <c r="BG96" s="137"/>
      <c r="BH96" s="138"/>
    </row>
    <row r="97" spans="46:60" x14ac:dyDescent="0.25">
      <c r="AT97" s="136"/>
      <c r="AU97" s="843" t="s">
        <v>273</v>
      </c>
      <c r="AV97" s="844"/>
      <c r="AW97" s="844"/>
      <c r="AX97" s="845"/>
      <c r="AY97" s="222" t="s">
        <v>6</v>
      </c>
      <c r="AZ97" s="280" cm="1">
        <f t="array" ref="AZ97">SATURATION_TEMPERATURE(CONVERT(0.5*(E17+E38),"psi","kPa"))-273.15</f>
        <v>21.39436025713178</v>
      </c>
      <c r="BA97" s="266">
        <f>BA96</f>
        <v>21.39436025713178</v>
      </c>
      <c r="BB97" s="280">
        <f>E39</f>
        <v>5</v>
      </c>
      <c r="BC97" s="137"/>
      <c r="BD97" s="137"/>
      <c r="BE97" s="175"/>
      <c r="BF97" s="137"/>
      <c r="BG97" s="137"/>
      <c r="BH97" s="138"/>
    </row>
    <row r="98" spans="46:60" x14ac:dyDescent="0.25">
      <c r="AT98" s="136"/>
      <c r="AU98" s="843" t="s">
        <v>274</v>
      </c>
      <c r="AV98" s="844"/>
      <c r="AW98" s="844"/>
      <c r="AX98" s="845"/>
      <c r="AY98" s="222" t="s">
        <v>6</v>
      </c>
      <c r="AZ98" s="280">
        <f>AVERAGE(AZ96:AZ97)</f>
        <v>28.135827561645783</v>
      </c>
      <c r="BA98" s="266">
        <f t="shared" ref="BA98:BB98" si="27">AVERAGE(BA96:BA97)</f>
        <v>21.39436025713178</v>
      </c>
      <c r="BB98" s="280">
        <f t="shared" si="27"/>
        <v>13.19718012856589</v>
      </c>
      <c r="BC98" s="137"/>
      <c r="BD98" s="137"/>
      <c r="BE98" s="175"/>
      <c r="BF98" s="137"/>
      <c r="BG98" s="137"/>
      <c r="BH98" s="138"/>
    </row>
    <row r="99" spans="46:60" x14ac:dyDescent="0.25">
      <c r="AT99" s="136"/>
      <c r="AU99" s="843" t="s">
        <v>275</v>
      </c>
      <c r="AV99" s="844"/>
      <c r="AW99" s="844"/>
      <c r="AX99" s="845"/>
      <c r="AY99" s="222" t="s">
        <v>276</v>
      </c>
      <c r="AZ99" s="281">
        <v>1.7694999999999999E-5</v>
      </c>
      <c r="BA99" s="258" t="s">
        <v>25</v>
      </c>
      <c r="BB99" s="281">
        <v>8.2097999999999999E-5</v>
      </c>
      <c r="BC99" s="137"/>
      <c r="BD99" s="137"/>
      <c r="BE99" s="176"/>
      <c r="BF99" s="137"/>
      <c r="BG99" s="137"/>
      <c r="BH99" s="138"/>
    </row>
    <row r="100" spans="46:60" x14ac:dyDescent="0.25">
      <c r="AT100" s="136"/>
      <c r="AU100" s="843" t="s">
        <v>277</v>
      </c>
      <c r="AV100" s="844"/>
      <c r="AW100" s="844"/>
      <c r="AX100" s="845"/>
      <c r="AY100" s="222" t="s">
        <v>278</v>
      </c>
      <c r="AZ100" s="222">
        <v>2.9117000000000001E-2</v>
      </c>
      <c r="BA100" s="258" t="s">
        <v>25</v>
      </c>
      <c r="BB100" s="222">
        <v>9.6113000000000004E-2</v>
      </c>
      <c r="BC100" s="137"/>
      <c r="BD100" s="137"/>
      <c r="BE100" s="175"/>
      <c r="BF100" s="137"/>
      <c r="BG100" s="137"/>
      <c r="BH100" s="138"/>
    </row>
    <row r="101" spans="46:60" x14ac:dyDescent="0.25">
      <c r="AT101" s="136"/>
      <c r="AU101" s="843" t="s">
        <v>279</v>
      </c>
      <c r="AV101" s="844"/>
      <c r="AW101" s="844"/>
      <c r="AX101" s="845"/>
      <c r="AY101" s="222" t="s">
        <v>280</v>
      </c>
      <c r="AZ101" s="222">
        <v>2609.5</v>
      </c>
      <c r="BA101" s="258" t="s">
        <v>25</v>
      </c>
      <c r="BB101" s="222">
        <v>2928.7</v>
      </c>
      <c r="BC101" s="137"/>
      <c r="BD101" s="137"/>
      <c r="BE101" s="137"/>
      <c r="BF101" s="137"/>
      <c r="BG101" s="137"/>
      <c r="BH101" s="138"/>
    </row>
    <row r="102" spans="46:60" ht="15.75" thickBot="1" x14ac:dyDescent="0.3">
      <c r="AT102" s="136"/>
      <c r="AU102" s="846" t="s">
        <v>281</v>
      </c>
      <c r="AV102" s="847"/>
      <c r="AW102" s="847"/>
      <c r="AX102" s="848"/>
      <c r="AY102" s="223" t="s">
        <v>25</v>
      </c>
      <c r="AZ102" s="282">
        <f>AZ99*AZ101/AZ100</f>
        <v>1.5858468420510352</v>
      </c>
      <c r="BA102" s="267" t="s">
        <v>25</v>
      </c>
      <c r="BB102" s="282">
        <f>BB99*BB101/BB100</f>
        <v>2.5016429889817191</v>
      </c>
      <c r="BC102" s="137"/>
      <c r="BD102" s="137"/>
      <c r="BE102" s="175"/>
      <c r="BF102" s="137"/>
      <c r="BG102" s="137"/>
      <c r="BH102" s="138"/>
    </row>
    <row r="103" spans="46:60" ht="15.75" thickBot="1" x14ac:dyDescent="0.3">
      <c r="AT103" s="136"/>
      <c r="AU103" s="858" t="s">
        <v>282</v>
      </c>
      <c r="AV103" s="859"/>
      <c r="AW103" s="859"/>
      <c r="AX103" s="859"/>
      <c r="AY103" s="859"/>
      <c r="AZ103" s="860"/>
      <c r="BA103" s="859"/>
      <c r="BB103" s="861"/>
      <c r="BC103" s="137"/>
      <c r="BD103" s="137"/>
      <c r="BE103" s="137"/>
      <c r="BF103" s="137"/>
      <c r="BG103" s="137"/>
      <c r="BH103" s="138"/>
    </row>
    <row r="104" spans="46:60" x14ac:dyDescent="0.25">
      <c r="AT104" s="136"/>
      <c r="AU104" s="849" t="s">
        <v>272</v>
      </c>
      <c r="AV104" s="850"/>
      <c r="AW104" s="850"/>
      <c r="AX104" s="851"/>
      <c r="AY104" s="221" t="s">
        <v>6</v>
      </c>
      <c r="AZ104" s="261">
        <f>BA105</f>
        <v>2.9224702374595495</v>
      </c>
      <c r="BA104" s="265">
        <f>BB105</f>
        <v>0.76356257382155945</v>
      </c>
      <c r="BB104" s="261">
        <v>0</v>
      </c>
      <c r="BC104" s="137"/>
      <c r="BD104" s="137"/>
      <c r="BE104" s="137"/>
      <c r="BF104" s="137"/>
      <c r="BG104" s="137"/>
      <c r="BH104" s="138"/>
    </row>
    <row r="105" spans="46:60" x14ac:dyDescent="0.25">
      <c r="AT105" s="136"/>
      <c r="AU105" s="843" t="s">
        <v>273</v>
      </c>
      <c r="AV105" s="844"/>
      <c r="AW105" s="844"/>
      <c r="AX105" s="845"/>
      <c r="AY105" s="222" t="s">
        <v>6</v>
      </c>
      <c r="AZ105" s="280" cm="1">
        <f t="array" ref="AZ105">TEMP_REFRIGERANT(-(   HENTALPY(AZ97+273.15,SAT_DENSITY_V(AZ97+273.15)) - SENSIBLE_HENTALPY(AZ96+273.15,CONVERT(0.5*(E17+E38),"psi","kPa"))   )*( MASS_FLOW/(AZ92*3600) ),AZ104+273.15,2)-273.15</f>
        <v>3.4999998813370325</v>
      </c>
      <c r="BA105" s="266" cm="1">
        <f t="array" ref="BA105">TEMP_REFRIGERANT(-(   -HENTALPY(BA97+273.15,SAT_DENSITY_V(BA97+273.15)) + HENTALPY(BA96+273.15,SAT_DENSITY_L(BA96+273.15))   )*( MASS_FLOW/(AZ92*3600) ),BA104+273.15,2)-273.15</f>
        <v>2.9224702374595495</v>
      </c>
      <c r="BB105" s="280" cm="1">
        <f t="array" ref="BB105">TEMP_REFRIGERANT(-(  SENSIBLE_HENTALPY(BB97+273.15,CONVERT(0.5*(E17+E38),"psi","kPa")) - HENTALPY(BB96+273.15,SAT_DENSITY_L(BB96+273.15))  )*( MASS_FLOW/(AZ92*3600) ),BB104+273.15,2)-273.15</f>
        <v>0.76356257382155945</v>
      </c>
      <c r="BC105" s="137"/>
      <c r="BD105" s="137"/>
      <c r="BE105" s="137"/>
      <c r="BF105" s="137"/>
      <c r="BG105" s="137"/>
      <c r="BH105" s="138"/>
    </row>
    <row r="106" spans="46:60" x14ac:dyDescent="0.25">
      <c r="AT106" s="136"/>
      <c r="AU106" s="843" t="s">
        <v>274</v>
      </c>
      <c r="AV106" s="844"/>
      <c r="AW106" s="844"/>
      <c r="AX106" s="845"/>
      <c r="AY106" s="222" t="s">
        <v>6</v>
      </c>
      <c r="AZ106" s="280">
        <f>AVERAGE(AZ104:AZ105)</f>
        <v>3.211235059398291</v>
      </c>
      <c r="BA106" s="266">
        <f t="shared" ref="BA106:BB106" si="28">AVERAGE(BA104:BA105)</f>
        <v>1.8430164056405545</v>
      </c>
      <c r="BB106" s="280">
        <f t="shared" si="28"/>
        <v>0.38178128691077973</v>
      </c>
      <c r="BC106" s="137"/>
      <c r="BD106" s="137"/>
      <c r="BE106" s="137"/>
      <c r="BF106" s="137"/>
      <c r="BG106" s="137"/>
      <c r="BH106" s="138"/>
    </row>
    <row r="107" spans="46:60" x14ac:dyDescent="0.25">
      <c r="AT107" s="136"/>
      <c r="AU107" s="843" t="s">
        <v>275</v>
      </c>
      <c r="AV107" s="844"/>
      <c r="AW107" s="844"/>
      <c r="AX107" s="845"/>
      <c r="AY107" s="222" t="s">
        <v>276</v>
      </c>
      <c r="AZ107" s="283">
        <v>3.5971549217685499E-3</v>
      </c>
      <c r="BA107" s="268">
        <v>3.7679449505428199E-3</v>
      </c>
      <c r="BB107" s="283">
        <v>3.96240894725904E-3</v>
      </c>
      <c r="BC107" s="137"/>
      <c r="BD107" s="137"/>
      <c r="BE107" s="137"/>
      <c r="BF107" s="137"/>
      <c r="BG107" s="137"/>
      <c r="BH107" s="138"/>
    </row>
    <row r="108" spans="46:60" x14ac:dyDescent="0.25">
      <c r="AT108" s="136"/>
      <c r="AU108" s="843" t="s">
        <v>277</v>
      </c>
      <c r="AV108" s="844"/>
      <c r="AW108" s="844"/>
      <c r="AX108" s="845"/>
      <c r="AY108" s="222" t="s">
        <v>278</v>
      </c>
      <c r="AZ108" s="284">
        <v>0.31941020275480803</v>
      </c>
      <c r="BA108" s="269">
        <v>0.31895546988810303</v>
      </c>
      <c r="BB108" s="284">
        <v>0.31846240646743201</v>
      </c>
      <c r="BC108" s="137"/>
      <c r="BD108" s="137"/>
      <c r="BE108" s="137"/>
      <c r="BF108" s="137"/>
      <c r="BG108" s="137"/>
      <c r="BH108" s="138"/>
    </row>
    <row r="109" spans="46:60" x14ac:dyDescent="0.25">
      <c r="AT109" s="136"/>
      <c r="AU109" s="843" t="s">
        <v>279</v>
      </c>
      <c r="AV109" s="844"/>
      <c r="AW109" s="844"/>
      <c r="AX109" s="845"/>
      <c r="AY109" s="222" t="s">
        <v>280</v>
      </c>
      <c r="AZ109" s="280">
        <v>3139.1572975516601</v>
      </c>
      <c r="BA109" s="266">
        <v>3131.7166350920502</v>
      </c>
      <c r="BB109" s="280">
        <v>3123.5294707192502</v>
      </c>
      <c r="BC109" s="137"/>
      <c r="BD109" s="137"/>
      <c r="BE109" s="137"/>
      <c r="BF109" s="137"/>
      <c r="BG109" s="137"/>
      <c r="BH109" s="138"/>
    </row>
    <row r="110" spans="46:60" ht="15.75" thickBot="1" x14ac:dyDescent="0.3">
      <c r="AT110" s="136"/>
      <c r="AU110" s="846" t="s">
        <v>281</v>
      </c>
      <c r="AV110" s="847"/>
      <c r="AW110" s="847"/>
      <c r="AX110" s="848"/>
      <c r="AY110" s="223" t="s">
        <v>25</v>
      </c>
      <c r="AZ110" s="285">
        <f>AZ107*AZ109/AZ108</f>
        <v>35.352769027737757</v>
      </c>
      <c r="BA110" s="270">
        <f t="shared" ref="BA110:BB110" si="29">BA107*BA109/BA108</f>
        <v>36.996185975007116</v>
      </c>
      <c r="BB110" s="285">
        <f t="shared" si="29"/>
        <v>38.863931410601118</v>
      </c>
      <c r="BC110" s="137"/>
      <c r="BD110" s="137"/>
      <c r="BE110" s="137"/>
      <c r="BF110" s="137"/>
      <c r="BG110" s="137"/>
      <c r="BH110" s="138"/>
    </row>
    <row r="111" spans="46:60" ht="15.75" thickBot="1" x14ac:dyDescent="0.3">
      <c r="AT111" s="136"/>
      <c r="AU111" s="858" t="s">
        <v>283</v>
      </c>
      <c r="AV111" s="859"/>
      <c r="AW111" s="859"/>
      <c r="AX111" s="859"/>
      <c r="AY111" s="859"/>
      <c r="AZ111" s="860"/>
      <c r="BA111" s="859"/>
      <c r="BB111" s="861"/>
      <c r="BC111" s="137"/>
      <c r="BD111" s="137"/>
      <c r="BE111" s="137"/>
      <c r="BF111" s="137"/>
      <c r="BG111" s="137"/>
      <c r="BH111" s="138"/>
    </row>
    <row r="112" spans="46:60" x14ac:dyDescent="0.25">
      <c r="AT112" s="136"/>
      <c r="AU112" s="849" t="s">
        <v>284</v>
      </c>
      <c r="AV112" s="850"/>
      <c r="AW112" s="850"/>
      <c r="AX112" s="851"/>
      <c r="AY112" s="221" t="s">
        <v>25</v>
      </c>
      <c r="AZ112" s="286">
        <f>4*$AZ$87/(PI()*AZ99*$AZ$82)</f>
        <v>759211.196967531</v>
      </c>
      <c r="BA112" s="271" t="s">
        <v>25</v>
      </c>
      <c r="BB112" s="286">
        <f t="shared" ref="BB112" si="30">4*$AZ$87/(PI()*BB99*$AZ$82)</f>
        <v>163636.65534288849</v>
      </c>
      <c r="BC112" s="137"/>
      <c r="BD112" s="137"/>
      <c r="BE112" s="137"/>
      <c r="BF112" s="137"/>
      <c r="BG112" s="137"/>
      <c r="BH112" s="138"/>
    </row>
    <row r="113" spans="46:60" x14ac:dyDescent="0.25">
      <c r="AT113" s="136"/>
      <c r="AU113" s="843" t="s">
        <v>285</v>
      </c>
      <c r="AV113" s="844"/>
      <c r="AW113" s="844"/>
      <c r="AX113" s="845"/>
      <c r="AY113" s="222" t="s">
        <v>25</v>
      </c>
      <c r="AZ113" s="287">
        <f>(0.79*LN(AZ112)-1.64)^(-2)</f>
        <v>1.2191775410068799E-2</v>
      </c>
      <c r="BA113" s="272" t="s">
        <v>25</v>
      </c>
      <c r="BB113" s="287">
        <f t="shared" ref="BB113" si="31">(0.79*LN(BB112)-1.64)^(-2)</f>
        <v>1.625155975474353E-2</v>
      </c>
      <c r="BC113" s="137"/>
      <c r="BD113" s="137"/>
      <c r="BE113" s="137"/>
      <c r="BF113" s="137"/>
      <c r="BG113" s="137"/>
      <c r="BH113" s="138"/>
    </row>
    <row r="114" spans="46:60" x14ac:dyDescent="0.25">
      <c r="AT114" s="136"/>
      <c r="AU114" s="843" t="s">
        <v>286</v>
      </c>
      <c r="AV114" s="844"/>
      <c r="AW114" s="844"/>
      <c r="AX114" s="845"/>
      <c r="AY114" s="222" t="s">
        <v>25</v>
      </c>
      <c r="AZ114" s="262">
        <f>(  (AZ113/8)*(AZ112-1000)*AZ102  )/(  1.07 + 12.7*SQRT(AZ113/8)*((AZ102^(2/3))-1)  )</f>
        <v>1467.7870171447591</v>
      </c>
      <c r="BA114" s="273" t="s">
        <v>25</v>
      </c>
      <c r="BB114" s="262">
        <f t="shared" ref="BB114" si="32">(  (BB113/8)*(BB112-1000)*BB102  )/(  1.07 + 12.7*SQRT(BB113/8)*((BB102^(2/3))-1)  )</f>
        <v>532.39535986188605</v>
      </c>
      <c r="BC114" s="137"/>
      <c r="BD114" s="137"/>
      <c r="BE114" s="137"/>
      <c r="BF114" s="137"/>
      <c r="BG114" s="137"/>
      <c r="BH114" s="138"/>
    </row>
    <row r="115" spans="46:60" ht="17.25" thickBot="1" x14ac:dyDescent="0.3">
      <c r="AT115" s="136"/>
      <c r="AU115" s="846" t="s">
        <v>287</v>
      </c>
      <c r="AV115" s="847"/>
      <c r="AW115" s="847"/>
      <c r="AX115" s="848"/>
      <c r="AY115" s="223" t="s">
        <v>288</v>
      </c>
      <c r="AZ115" s="288">
        <f>AZ114*AZ100/$AZ$82</f>
        <v>13460.64711124534</v>
      </c>
      <c r="BA115" s="270">
        <f>0.555*(     ( 9.81*757.89*(757.89-205.7)*(0.083744^3)*((404.74-260.74)+(3/8)*4644.7*(BA98-BA106)) )/( (0.000064278)*(BA98-BA106)*AZ82 )    )^(0.25)</f>
        <v>1183.3222995069661</v>
      </c>
      <c r="BB115" s="288">
        <f>BB114*BB100/$AZ$82</f>
        <v>16116.571723592271</v>
      </c>
      <c r="BC115" s="137"/>
      <c r="BD115" s="137"/>
      <c r="BE115" s="137"/>
      <c r="BF115" s="137"/>
      <c r="BG115" s="137"/>
      <c r="BH115" s="138"/>
    </row>
    <row r="116" spans="46:60" ht="15.75" thickBot="1" x14ac:dyDescent="0.3">
      <c r="AT116" s="136"/>
      <c r="AU116" s="858" t="s">
        <v>289</v>
      </c>
      <c r="AV116" s="859"/>
      <c r="AW116" s="859"/>
      <c r="AX116" s="859"/>
      <c r="AY116" s="859"/>
      <c r="AZ116" s="860"/>
      <c r="BA116" s="859"/>
      <c r="BB116" s="861"/>
      <c r="BC116" s="137"/>
      <c r="BD116" s="137"/>
      <c r="BE116" s="137"/>
      <c r="BF116" s="137"/>
      <c r="BG116" s="137"/>
      <c r="BH116" s="138"/>
    </row>
    <row r="117" spans="46:60" x14ac:dyDescent="0.25">
      <c r="AT117" s="136"/>
      <c r="AU117" s="849" t="s">
        <v>284</v>
      </c>
      <c r="AV117" s="850"/>
      <c r="AW117" s="850"/>
      <c r="AX117" s="851"/>
      <c r="AY117" s="221" t="s">
        <v>25</v>
      </c>
      <c r="AZ117" s="289">
        <f>4*$AZ$92/(PI()*AZ107*($AZ$83+$AZ$84))</f>
        <v>13259.232580038324</v>
      </c>
      <c r="BA117" s="274">
        <f t="shared" ref="BA117:BB117" si="33">4*$AZ$92/(PI()*BA107*($AZ$83+$AZ$84))</f>
        <v>12658.229979524416</v>
      </c>
      <c r="BB117" s="289">
        <f t="shared" si="33"/>
        <v>12036.999302444969</v>
      </c>
      <c r="BC117" s="137"/>
      <c r="BD117" s="137"/>
      <c r="BE117" s="137"/>
      <c r="BF117" s="137"/>
      <c r="BG117" s="137"/>
      <c r="BH117" s="138"/>
    </row>
    <row r="118" spans="46:60" x14ac:dyDescent="0.25">
      <c r="AT118" s="136"/>
      <c r="AU118" s="843" t="s">
        <v>285</v>
      </c>
      <c r="AV118" s="844"/>
      <c r="AW118" s="844"/>
      <c r="AX118" s="845"/>
      <c r="AY118" s="222" t="s">
        <v>25</v>
      </c>
      <c r="AZ118" s="290">
        <f>(0.79*LN(AZ117)-1.64)^(-2)</f>
        <v>2.9130491545259402E-2</v>
      </c>
      <c r="BA118" s="275">
        <f t="shared" ref="BA118:BB118" si="34">(0.79*LN(BA117)-1.64)^(-2)</f>
        <v>2.9498332356901337E-2</v>
      </c>
      <c r="BB118" s="290">
        <f t="shared" si="34"/>
        <v>2.9905319348771657E-2</v>
      </c>
      <c r="BC118" s="137"/>
      <c r="BD118" s="137"/>
      <c r="BE118" s="137"/>
      <c r="BF118" s="137"/>
      <c r="BG118" s="137"/>
      <c r="BH118" s="138"/>
    </row>
    <row r="119" spans="46:60" x14ac:dyDescent="0.25">
      <c r="AT119" s="136"/>
      <c r="AU119" s="843" t="s">
        <v>286</v>
      </c>
      <c r="AV119" s="844"/>
      <c r="AW119" s="844"/>
      <c r="AX119" s="845"/>
      <c r="AY119" s="222" t="s">
        <v>25</v>
      </c>
      <c r="AZ119" s="287">
        <f>(  (AZ118/8)*(AZ117-1000)*AZ110  )/(  1.07 + 12.7*SQRT(AZ118/8)*((AZ110^(2/3))-1) )</f>
        <v>184.39190298860134</v>
      </c>
      <c r="BA119" s="272">
        <f t="shared" ref="BA119:BB119" si="35">(  (BA118/8)*(BA117-1000)*BA110  )/(  1.07 + 12.7*SQRT(BA118/8)*((BA110^(2/3))-1) )</f>
        <v>179.47491627690221</v>
      </c>
      <c r="BB119" s="287">
        <f t="shared" si="35"/>
        <v>174.24001737147466</v>
      </c>
      <c r="BC119" s="137"/>
      <c r="BD119" s="137"/>
      <c r="BE119" s="137"/>
      <c r="BF119" s="137"/>
      <c r="BG119" s="137"/>
      <c r="BH119" s="138"/>
    </row>
    <row r="120" spans="46:60" ht="17.25" thickBot="1" x14ac:dyDescent="0.3">
      <c r="AT120" s="136"/>
      <c r="AU120" s="846" t="s">
        <v>287</v>
      </c>
      <c r="AV120" s="847"/>
      <c r="AW120" s="847"/>
      <c r="AX120" s="848"/>
      <c r="AY120" s="223" t="s">
        <v>288</v>
      </c>
      <c r="AZ120" s="291">
        <f>AZ119*AZ108/$AZ$82</f>
        <v>18550.127596829621</v>
      </c>
      <c r="BA120" s="276">
        <f t="shared" ref="BA120:BB120" si="36">BA119*BA108/$AZ$82</f>
        <v>18029.76574936293</v>
      </c>
      <c r="BB120" s="291">
        <f t="shared" si="36"/>
        <v>17476.817396865194</v>
      </c>
      <c r="BC120" s="137"/>
      <c r="BD120" s="137"/>
      <c r="BE120" s="137"/>
      <c r="BF120" s="137"/>
      <c r="BG120" s="137"/>
      <c r="BH120" s="138"/>
    </row>
    <row r="121" spans="46:60" ht="15.75" thickBot="1" x14ac:dyDescent="0.3">
      <c r="AT121" s="136"/>
      <c r="AU121" s="858" t="s">
        <v>290</v>
      </c>
      <c r="AV121" s="859"/>
      <c r="AW121" s="859"/>
      <c r="AX121" s="859"/>
      <c r="AY121" s="859"/>
      <c r="AZ121" s="860"/>
      <c r="BA121" s="859"/>
      <c r="BB121" s="861"/>
      <c r="BC121" s="137"/>
      <c r="BD121" s="137"/>
      <c r="BE121" s="137"/>
      <c r="BF121" s="137"/>
      <c r="BG121" s="137"/>
      <c r="BH121" s="138"/>
    </row>
    <row r="122" spans="46:60" ht="16.5" x14ac:dyDescent="0.25">
      <c r="AT122" s="136"/>
      <c r="AU122" s="849" t="s">
        <v>291</v>
      </c>
      <c r="AV122" s="850"/>
      <c r="AW122" s="850"/>
      <c r="AX122" s="851"/>
      <c r="AY122" s="221" t="s">
        <v>292</v>
      </c>
      <c r="AZ122" s="292">
        <f>($AZ$83/$AZ$82)*(1/AZ115)</f>
        <v>1.4858126681956867E-4</v>
      </c>
      <c r="BA122" s="277">
        <f t="shared" ref="BA122:BB122" si="37">($AZ$83/$AZ$82)*(1/BA115)</f>
        <v>1.6901566046995855E-3</v>
      </c>
      <c r="BB122" s="292">
        <f t="shared" si="37"/>
        <v>1.2409587065419729E-4</v>
      </c>
      <c r="BC122" s="137"/>
      <c r="BD122" s="137"/>
      <c r="BE122" s="137"/>
      <c r="BF122" s="137"/>
      <c r="BG122" s="137"/>
      <c r="BH122" s="138"/>
    </row>
    <row r="123" spans="46:60" ht="16.5" x14ac:dyDescent="0.25">
      <c r="AT123" s="136"/>
      <c r="AU123" s="843" t="s">
        <v>293</v>
      </c>
      <c r="AV123" s="844"/>
      <c r="AW123" s="844"/>
      <c r="AX123" s="845"/>
      <c r="AY123" s="222" t="s">
        <v>292</v>
      </c>
      <c r="AZ123" s="293">
        <f>($AZ$83/(2*13.4))*LN($AZ$83/$AZ$82)</f>
        <v>1.6423449987147955E-4</v>
      </c>
      <c r="BA123" s="278">
        <f t="shared" ref="BA123:BB123" si="38">($AZ$83/(2*13.4))*LN($AZ$83/$AZ$82)</f>
        <v>1.6423449987147955E-4</v>
      </c>
      <c r="BB123" s="293">
        <f t="shared" si="38"/>
        <v>1.6423449987147955E-4</v>
      </c>
      <c r="BC123" s="137"/>
      <c r="BD123" s="137"/>
      <c r="BE123" s="137"/>
      <c r="BF123" s="137"/>
      <c r="BG123" s="137"/>
      <c r="BH123" s="138"/>
    </row>
    <row r="124" spans="46:60" ht="17.25" thickBot="1" x14ac:dyDescent="0.3">
      <c r="AT124" s="136"/>
      <c r="AU124" s="846" t="s">
        <v>294</v>
      </c>
      <c r="AV124" s="847"/>
      <c r="AW124" s="847"/>
      <c r="AX124" s="848"/>
      <c r="AY124" s="223" t="s">
        <v>292</v>
      </c>
      <c r="AZ124" s="294">
        <f>1/AZ120</f>
        <v>5.3907984987171122E-5</v>
      </c>
      <c r="BA124" s="279">
        <f t="shared" ref="BA124:BB124" si="39">1/BA120</f>
        <v>5.5463837628358223E-5</v>
      </c>
      <c r="BB124" s="294">
        <f t="shared" si="39"/>
        <v>5.7218655850885611E-5</v>
      </c>
      <c r="BC124" s="137"/>
      <c r="BD124" s="137"/>
      <c r="BE124" s="137"/>
      <c r="BF124" s="137"/>
      <c r="BG124" s="137"/>
      <c r="BH124" s="138"/>
    </row>
    <row r="125" spans="46:60" ht="16.5" x14ac:dyDescent="0.25">
      <c r="AT125" s="136"/>
      <c r="AU125" s="862" t="s">
        <v>295</v>
      </c>
      <c r="AV125" s="863"/>
      <c r="AW125" s="863"/>
      <c r="AX125" s="864"/>
      <c r="AY125" s="301" t="s">
        <v>296</v>
      </c>
      <c r="AZ125" s="302">
        <f>(AZ122+AZ123+AZ124)^(-1)</f>
        <v>2726.8481941072828</v>
      </c>
      <c r="BA125" s="303">
        <f t="shared" ref="BA125:BB125" si="40">(BA122+BA123+BA124)^(-1)</f>
        <v>523.59997500563156</v>
      </c>
      <c r="BB125" s="302">
        <f t="shared" si="40"/>
        <v>2893.9453555578798</v>
      </c>
      <c r="BC125" s="137"/>
      <c r="BD125" s="137"/>
      <c r="BE125" s="137"/>
      <c r="BF125" s="137"/>
      <c r="BG125" s="137"/>
      <c r="BH125" s="138"/>
    </row>
    <row r="126" spans="46:60" x14ac:dyDescent="0.25">
      <c r="AT126" s="136"/>
      <c r="AU126" s="855" t="s">
        <v>297</v>
      </c>
      <c r="AV126" s="856"/>
      <c r="AW126" s="856"/>
      <c r="AX126" s="857"/>
      <c r="AY126" s="225" t="s">
        <v>171</v>
      </c>
      <c r="AZ126" s="262">
        <f>AZ97-AZ104</f>
        <v>18.47189001967223</v>
      </c>
      <c r="BA126" s="273">
        <f t="shared" ref="BA126:BB126" si="41">BA97-BA104</f>
        <v>20.63079768331022</v>
      </c>
      <c r="BB126" s="262">
        <f t="shared" si="41"/>
        <v>5</v>
      </c>
      <c r="BC126" s="137"/>
      <c r="BD126" s="137"/>
      <c r="BE126" s="137"/>
      <c r="BF126" s="137"/>
      <c r="BG126" s="137"/>
      <c r="BH126" s="138"/>
    </row>
    <row r="127" spans="46:60" x14ac:dyDescent="0.25">
      <c r="AT127" s="136"/>
      <c r="AU127" s="855" t="s">
        <v>298</v>
      </c>
      <c r="AV127" s="856"/>
      <c r="AW127" s="856"/>
      <c r="AX127" s="857"/>
      <c r="AY127" s="225" t="s">
        <v>171</v>
      </c>
      <c r="AZ127" s="262">
        <f>AZ96-AZ105</f>
        <v>31.377294984822754</v>
      </c>
      <c r="BA127" s="273">
        <f t="shared" ref="BA127:BB127" si="42">BA96-BA105</f>
        <v>18.47189001967223</v>
      </c>
      <c r="BB127" s="262">
        <f t="shared" si="42"/>
        <v>20.63079768331022</v>
      </c>
      <c r="BC127" s="137"/>
      <c r="BD127" s="137"/>
      <c r="BE127" s="137"/>
      <c r="BF127" s="137"/>
      <c r="BG127" s="137"/>
      <c r="BH127" s="138"/>
    </row>
    <row r="128" spans="46:60" x14ac:dyDescent="0.25">
      <c r="AT128" s="136"/>
      <c r="AU128" s="855" t="s">
        <v>299</v>
      </c>
      <c r="AV128" s="856"/>
      <c r="AW128" s="856"/>
      <c r="AX128" s="857"/>
      <c r="AY128" s="225" t="s">
        <v>171</v>
      </c>
      <c r="AZ128" s="262">
        <f>(AZ127-AZ126)/LN(AZ127/AZ126)</f>
        <v>24.357430154062182</v>
      </c>
      <c r="BA128" s="273">
        <f t="shared" ref="BA128:BB128" si="43">(BA127-BA126)/LN(BA127/BA126)</f>
        <v>19.531461684180393</v>
      </c>
      <c r="BB128" s="262">
        <f t="shared" si="43"/>
        <v>11.028207489164869</v>
      </c>
      <c r="BC128" s="137"/>
      <c r="BD128" s="137"/>
      <c r="BE128" s="137"/>
      <c r="BF128" s="137"/>
      <c r="BG128" s="137"/>
      <c r="BH128" s="138"/>
    </row>
    <row r="129" spans="46:60" ht="16.5" x14ac:dyDescent="0.25">
      <c r="AT129" s="136"/>
      <c r="AU129" s="855" t="s">
        <v>300</v>
      </c>
      <c r="AV129" s="856"/>
      <c r="AW129" s="856"/>
      <c r="AX129" s="857"/>
      <c r="AY129" s="227" t="s">
        <v>301</v>
      </c>
      <c r="AZ129" s="296">
        <f>$AZ$89/(AZ125*AZ128)</f>
        <v>0.11741166098217359</v>
      </c>
      <c r="BA129" s="297">
        <f t="shared" ref="BA129:BB129" si="44">$AZ$89/(BA125*BA128)</f>
        <v>0.76255170371774506</v>
      </c>
      <c r="BB129" s="296">
        <f t="shared" si="44"/>
        <v>0.24434778357212869</v>
      </c>
      <c r="BC129" s="137"/>
      <c r="BD129" s="137"/>
      <c r="BE129" s="137"/>
      <c r="BF129" s="137"/>
      <c r="BG129" s="137"/>
      <c r="BH129" s="138"/>
    </row>
    <row r="130" spans="46:60" ht="15.75" thickBot="1" x14ac:dyDescent="0.3">
      <c r="AT130" s="136"/>
      <c r="AU130" s="852" t="s">
        <v>302</v>
      </c>
      <c r="AV130" s="853"/>
      <c r="AW130" s="853"/>
      <c r="AX130" s="854"/>
      <c r="AY130" s="298" t="s">
        <v>236</v>
      </c>
      <c r="AZ130" s="299">
        <f>ROUNDUP(AZ129/(PI()*$AZ$83), 1)</f>
        <v>5.8999999999999995</v>
      </c>
      <c r="BA130" s="300">
        <f t="shared" ref="BA130:BB130" si="45">ROUNDUP(BA129/(PI()*$AZ$83), 1)</f>
        <v>38.300000000000004</v>
      </c>
      <c r="BB130" s="299">
        <f t="shared" si="45"/>
        <v>12.299999999999999</v>
      </c>
      <c r="BC130" s="137"/>
      <c r="BD130" s="137"/>
      <c r="BE130" s="137"/>
      <c r="BF130" s="137"/>
      <c r="BG130" s="137"/>
      <c r="BH130" s="138"/>
    </row>
    <row r="131" spans="46:60" ht="15.75" thickBot="1" x14ac:dyDescent="0.3">
      <c r="AT131" s="136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8"/>
    </row>
    <row r="132" spans="46:60" x14ac:dyDescent="0.25">
      <c r="AT132" s="136"/>
      <c r="AU132" s="829" t="s">
        <v>303</v>
      </c>
      <c r="AV132" s="830"/>
      <c r="AW132" s="830"/>
      <c r="AX132" s="830"/>
      <c r="AY132" s="830"/>
      <c r="AZ132" s="304">
        <f>SUM(AZ130:BB130)</f>
        <v>56.5</v>
      </c>
      <c r="BA132" s="137"/>
      <c r="BB132" s="137"/>
      <c r="BC132" s="137"/>
      <c r="BD132" s="137"/>
      <c r="BE132" s="137"/>
      <c r="BF132" s="137"/>
      <c r="BG132" s="137"/>
      <c r="BH132" s="138"/>
    </row>
    <row r="133" spans="46:60" ht="15.75" thickBot="1" x14ac:dyDescent="0.3">
      <c r="AT133" s="136"/>
      <c r="AU133" s="823" t="s">
        <v>304</v>
      </c>
      <c r="AV133" s="824"/>
      <c r="AW133" s="824"/>
      <c r="AX133" s="824"/>
      <c r="AY133" s="824"/>
      <c r="AZ133" s="305">
        <f>SUM(AZ136:BB136)</f>
        <v>11</v>
      </c>
      <c r="BA133" s="137"/>
      <c r="BB133" s="137"/>
      <c r="BC133" s="137"/>
      <c r="BD133" s="137"/>
      <c r="BE133" s="137"/>
      <c r="BF133" s="137"/>
      <c r="BG133" s="137"/>
      <c r="BH133" s="138"/>
    </row>
    <row r="134" spans="46:60" x14ac:dyDescent="0.25">
      <c r="AT134" s="136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8"/>
    </row>
    <row r="135" spans="46:60" x14ac:dyDescent="0.25">
      <c r="AT135" s="136"/>
      <c r="AU135" s="330"/>
      <c r="AV135" s="330"/>
      <c r="AW135" s="330"/>
      <c r="AX135" s="330"/>
      <c r="AY135" s="330"/>
      <c r="AZ135" s="309" t="s">
        <v>268</v>
      </c>
      <c r="BA135" s="309" t="s">
        <v>269</v>
      </c>
      <c r="BB135" s="309" t="s">
        <v>270</v>
      </c>
      <c r="BC135" s="137"/>
      <c r="BD135" s="137"/>
      <c r="BE135" s="137"/>
      <c r="BF135" s="137"/>
      <c r="BG135" s="137"/>
      <c r="BH135" s="138"/>
    </row>
    <row r="136" spans="46:60" x14ac:dyDescent="0.25">
      <c r="AT136" s="136"/>
      <c r="AU136" s="728" t="s">
        <v>305</v>
      </c>
      <c r="AV136" s="728"/>
      <c r="AW136" s="728"/>
      <c r="AX136" s="728"/>
      <c r="AY136" s="309" t="s">
        <v>25</v>
      </c>
      <c r="AZ136" s="309">
        <f>ROUNDUP(AZ130/6,0)</f>
        <v>1</v>
      </c>
      <c r="BA136" s="309">
        <f t="shared" ref="BA136:BB136" si="46">ROUNDUP(BA130/6,0)</f>
        <v>7</v>
      </c>
      <c r="BB136" s="309">
        <f t="shared" si="46"/>
        <v>3</v>
      </c>
      <c r="BC136" s="137"/>
      <c r="BD136" s="137"/>
      <c r="BE136" s="137"/>
      <c r="BF136" s="137"/>
      <c r="BG136" s="137"/>
      <c r="BH136" s="138"/>
    </row>
    <row r="137" spans="46:60" x14ac:dyDescent="0.25">
      <c r="AT137" s="136"/>
      <c r="AU137" s="728" t="s">
        <v>306</v>
      </c>
      <c r="AV137" s="728"/>
      <c r="AW137" s="728"/>
      <c r="AX137" s="728"/>
      <c r="AY137" s="309" t="s">
        <v>25</v>
      </c>
      <c r="AZ137" s="309">
        <f>AZ136</f>
        <v>1</v>
      </c>
      <c r="BA137" s="309">
        <f t="shared" ref="BA137:BB137" si="47">BA136</f>
        <v>7</v>
      </c>
      <c r="BB137" s="309">
        <f t="shared" si="47"/>
        <v>3</v>
      </c>
      <c r="BC137" s="137"/>
      <c r="BD137" s="137"/>
      <c r="BE137" s="137"/>
      <c r="BF137" s="137"/>
      <c r="BG137" s="137"/>
      <c r="BH137" s="138"/>
    </row>
    <row r="138" spans="46:60" x14ac:dyDescent="0.25">
      <c r="AT138" s="136"/>
      <c r="AU138" s="728" t="s">
        <v>307</v>
      </c>
      <c r="AV138" s="728"/>
      <c r="AW138" s="728"/>
      <c r="AX138" s="728"/>
      <c r="AY138" s="309" t="s">
        <v>96</v>
      </c>
      <c r="AZ138" s="313">
        <f>800*AZ136</f>
        <v>800</v>
      </c>
      <c r="BA138" s="313">
        <f t="shared" ref="BA138:BB138" si="48">800*BA136</f>
        <v>5600</v>
      </c>
      <c r="BB138" s="313">
        <f t="shared" si="48"/>
        <v>2400</v>
      </c>
      <c r="BC138" s="137"/>
      <c r="BD138" s="137"/>
      <c r="BE138" s="137"/>
      <c r="BF138" s="137"/>
      <c r="BG138" s="137"/>
      <c r="BH138" s="138"/>
    </row>
    <row r="139" spans="46:60" x14ac:dyDescent="0.25">
      <c r="AT139" s="136"/>
      <c r="AU139" s="728" t="s">
        <v>308</v>
      </c>
      <c r="AV139" s="728"/>
      <c r="AW139" s="728"/>
      <c r="AX139" s="728"/>
      <c r="AY139" s="309" t="s">
        <v>96</v>
      </c>
      <c r="AZ139" s="313">
        <f>75.26*AZ137</f>
        <v>75.260000000000005</v>
      </c>
      <c r="BA139" s="313">
        <f t="shared" ref="BA139:BB139" si="49">75.26*BA137</f>
        <v>526.82000000000005</v>
      </c>
      <c r="BB139" s="313">
        <f t="shared" si="49"/>
        <v>225.78000000000003</v>
      </c>
      <c r="BC139" s="137"/>
      <c r="BD139" s="331"/>
      <c r="BE139" s="137"/>
      <c r="BF139" s="137"/>
      <c r="BG139" s="137"/>
      <c r="BH139" s="138"/>
    </row>
    <row r="140" spans="46:60" x14ac:dyDescent="0.25">
      <c r="AT140" s="136"/>
      <c r="AU140" s="330"/>
      <c r="AV140" s="330"/>
      <c r="AW140" s="330"/>
      <c r="AX140" s="330"/>
      <c r="AY140" s="330"/>
      <c r="AZ140" s="330"/>
      <c r="BA140" s="330"/>
      <c r="BB140" s="330"/>
      <c r="BC140" s="137"/>
      <c r="BD140" s="137"/>
      <c r="BE140" s="137"/>
      <c r="BF140" s="137"/>
      <c r="BG140" s="137"/>
      <c r="BH140" s="138"/>
    </row>
    <row r="141" spans="46:60" x14ac:dyDescent="0.25">
      <c r="AT141" s="136"/>
      <c r="AU141" s="330"/>
      <c r="AV141" s="330"/>
      <c r="AW141" s="330"/>
      <c r="AX141" s="330"/>
      <c r="AY141" s="330"/>
      <c r="AZ141" s="308" t="s">
        <v>309</v>
      </c>
      <c r="BA141" s="309" t="s">
        <v>96</v>
      </c>
      <c r="BB141" s="313">
        <f>SUM(AZ138:BB139)</f>
        <v>9627.86</v>
      </c>
      <c r="BC141" s="137"/>
      <c r="BD141" s="137"/>
      <c r="BE141" s="137"/>
      <c r="BF141" s="137"/>
      <c r="BG141" s="137"/>
      <c r="BH141" s="138"/>
    </row>
    <row r="142" spans="46:60" x14ac:dyDescent="0.25">
      <c r="AT142" s="136"/>
      <c r="AU142" s="332"/>
      <c r="AV142" s="332"/>
      <c r="AW142" s="332"/>
      <c r="AX142" s="332"/>
      <c r="AY142" s="332"/>
      <c r="AZ142" s="318" t="s">
        <v>101</v>
      </c>
      <c r="BA142" s="319" t="s">
        <v>96</v>
      </c>
      <c r="BB142" s="329">
        <f>BB141*COST_FACTOR</f>
        <v>10590.646000000001</v>
      </c>
      <c r="BC142" s="137"/>
      <c r="BD142" s="137"/>
      <c r="BE142" s="137"/>
      <c r="BF142" s="137"/>
      <c r="BG142" s="137"/>
      <c r="BH142" s="138"/>
    </row>
    <row r="143" spans="46:60" ht="15.75" thickBot="1" x14ac:dyDescent="0.3">
      <c r="AT143" s="136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8"/>
    </row>
    <row r="144" spans="46:60" ht="15.75" thickBot="1" x14ac:dyDescent="0.3">
      <c r="AT144" s="136"/>
      <c r="AU144" s="826" t="s">
        <v>310</v>
      </c>
      <c r="AV144" s="827"/>
      <c r="AW144" s="827"/>
      <c r="AX144" s="827"/>
      <c r="AY144" s="827"/>
      <c r="AZ144" s="827"/>
      <c r="BA144" s="827"/>
      <c r="BB144" s="827"/>
      <c r="BC144" s="827"/>
      <c r="BD144" s="827"/>
      <c r="BE144" s="827"/>
      <c r="BF144" s="827"/>
      <c r="BG144" s="828"/>
      <c r="BH144" s="138"/>
    </row>
    <row r="145" spans="46:60" ht="15.75" thickBot="1" x14ac:dyDescent="0.3">
      <c r="AT145" s="136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8"/>
    </row>
    <row r="146" spans="46:60" x14ac:dyDescent="0.25">
      <c r="AT146" s="136"/>
      <c r="AU146" s="829" t="s">
        <v>311</v>
      </c>
      <c r="AV146" s="830"/>
      <c r="AW146" s="830"/>
      <c r="AX146" s="831"/>
      <c r="AY146" s="840" t="s">
        <v>312</v>
      </c>
      <c r="AZ146" s="841"/>
      <c r="BA146" s="842"/>
      <c r="BB146" s="137"/>
      <c r="BC146" s="137"/>
      <c r="BD146" s="137"/>
      <c r="BE146" s="137"/>
      <c r="BF146" s="137"/>
      <c r="BG146" s="137"/>
      <c r="BH146" s="138"/>
    </row>
    <row r="147" spans="46:60" ht="15.75" thickBot="1" x14ac:dyDescent="0.3">
      <c r="AT147" s="136"/>
      <c r="AU147" s="823" t="s">
        <v>313</v>
      </c>
      <c r="AV147" s="824"/>
      <c r="AW147" s="824"/>
      <c r="AX147" s="825"/>
      <c r="AY147" s="837" t="s">
        <v>314</v>
      </c>
      <c r="AZ147" s="838"/>
      <c r="BA147" s="839"/>
      <c r="BB147" s="137"/>
      <c r="BC147" s="137"/>
      <c r="BD147" s="137"/>
      <c r="BE147" s="137"/>
      <c r="BF147" s="137"/>
      <c r="BG147" s="137"/>
      <c r="BH147" s="138"/>
    </row>
    <row r="148" spans="46:60" x14ac:dyDescent="0.25">
      <c r="AT148" s="136"/>
      <c r="AU148" s="832" t="s">
        <v>315</v>
      </c>
      <c r="AV148" s="833"/>
      <c r="AW148" s="833"/>
      <c r="AX148" s="834"/>
      <c r="AY148" s="306" t="s">
        <v>316</v>
      </c>
      <c r="AZ148" s="835">
        <f>(MASS_FLOW/I90)*1000</f>
        <v>131.64179953675549</v>
      </c>
      <c r="BA148" s="836"/>
      <c r="BB148" s="137"/>
      <c r="BC148" s="137"/>
      <c r="BD148" s="137"/>
      <c r="BE148" s="137"/>
      <c r="BF148" s="137"/>
      <c r="BG148" s="137"/>
      <c r="BH148" s="138"/>
    </row>
    <row r="149" spans="46:60" x14ac:dyDescent="0.25">
      <c r="AT149" s="136"/>
      <c r="AU149" s="820" t="s">
        <v>317</v>
      </c>
      <c r="AV149" s="821"/>
      <c r="AW149" s="821"/>
      <c r="AX149" s="822"/>
      <c r="AY149" s="258" t="s">
        <v>318</v>
      </c>
      <c r="AZ149" s="818">
        <f>7/8</f>
        <v>0.875</v>
      </c>
      <c r="BA149" s="819"/>
      <c r="BB149" s="137"/>
      <c r="BC149" s="137"/>
      <c r="BD149" s="137"/>
      <c r="BE149" s="137"/>
      <c r="BF149" s="137"/>
      <c r="BG149" s="137"/>
      <c r="BH149" s="138"/>
    </row>
    <row r="150" spans="46:60" x14ac:dyDescent="0.25">
      <c r="AT150" s="136"/>
      <c r="AU150" s="820" t="s">
        <v>319</v>
      </c>
      <c r="AV150" s="821"/>
      <c r="AW150" s="821"/>
      <c r="AX150" s="822"/>
      <c r="AY150" s="258" t="s">
        <v>25</v>
      </c>
      <c r="AZ150" s="816" t="s">
        <v>320</v>
      </c>
      <c r="BA150" s="817"/>
      <c r="BB150" s="137"/>
      <c r="BC150" s="137"/>
      <c r="BD150" s="137"/>
      <c r="BE150" s="137"/>
      <c r="BF150" s="137"/>
      <c r="BG150" s="137"/>
      <c r="BH150" s="138"/>
    </row>
    <row r="151" spans="46:60" x14ac:dyDescent="0.25">
      <c r="AT151" s="136"/>
      <c r="AU151" s="820" t="s">
        <v>321</v>
      </c>
      <c r="AV151" s="821"/>
      <c r="AW151" s="821"/>
      <c r="AX151" s="822"/>
      <c r="AY151" s="258" t="s">
        <v>316</v>
      </c>
      <c r="AZ151" s="816">
        <v>176</v>
      </c>
      <c r="BA151" s="817"/>
      <c r="BB151" s="137"/>
      <c r="BC151" s="137"/>
      <c r="BD151" s="137"/>
      <c r="BE151" s="137"/>
      <c r="BF151" s="137"/>
      <c r="BG151" s="137"/>
      <c r="BH151" s="138"/>
    </row>
    <row r="152" spans="46:60" x14ac:dyDescent="0.25">
      <c r="AT152" s="136"/>
      <c r="AU152" s="820" t="s">
        <v>322</v>
      </c>
      <c r="AV152" s="821"/>
      <c r="AW152" s="821"/>
      <c r="AX152" s="822"/>
      <c r="AY152" s="258" t="s">
        <v>116</v>
      </c>
      <c r="AZ152" s="814">
        <f>M80</f>
        <v>1.8162280701754385</v>
      </c>
      <c r="BA152" s="815"/>
      <c r="BB152" s="137"/>
      <c r="BC152" s="137"/>
      <c r="BD152" s="137"/>
      <c r="BE152" s="137"/>
      <c r="BF152" s="137"/>
      <c r="BG152" s="137"/>
      <c r="BH152" s="138"/>
    </row>
    <row r="153" spans="46:60" ht="15.75" thickBot="1" x14ac:dyDescent="0.3">
      <c r="AT153" s="136"/>
      <c r="AU153" s="823" t="s">
        <v>323</v>
      </c>
      <c r="AV153" s="824"/>
      <c r="AW153" s="824"/>
      <c r="AX153" s="825"/>
      <c r="AY153" s="267" t="s">
        <v>20</v>
      </c>
      <c r="AZ153" s="812">
        <v>4050</v>
      </c>
      <c r="BA153" s="813"/>
      <c r="BB153" s="137"/>
      <c r="BC153" s="137"/>
      <c r="BD153" s="137"/>
      <c r="BE153" s="137"/>
      <c r="BF153" s="137"/>
      <c r="BG153" s="137"/>
      <c r="BH153" s="138"/>
    </row>
    <row r="154" spans="46:60" x14ac:dyDescent="0.25">
      <c r="AT154" s="136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8"/>
    </row>
    <row r="155" spans="46:60" x14ac:dyDescent="0.25">
      <c r="AT155" s="136"/>
      <c r="AU155" s="333"/>
      <c r="AV155" s="333"/>
      <c r="AW155" s="333"/>
      <c r="AX155" s="333"/>
      <c r="AY155" s="318" t="s">
        <v>101</v>
      </c>
      <c r="AZ155" s="319" t="s">
        <v>96</v>
      </c>
      <c r="BA155" s="320">
        <v>15000</v>
      </c>
      <c r="BB155" s="137"/>
      <c r="BC155" s="137"/>
      <c r="BD155" s="137"/>
      <c r="BE155" s="137"/>
      <c r="BF155" s="137"/>
      <c r="BG155" s="137"/>
      <c r="BH155" s="138"/>
    </row>
    <row r="156" spans="46:60" ht="15.75" thickBot="1" x14ac:dyDescent="0.3">
      <c r="AT156" s="140"/>
      <c r="AU156" s="141"/>
      <c r="AV156" s="141"/>
      <c r="AW156" s="141"/>
      <c r="AX156" s="141"/>
      <c r="AY156" s="141"/>
      <c r="AZ156" s="141"/>
      <c r="BA156" s="141"/>
      <c r="BB156" s="141"/>
      <c r="BC156" s="141"/>
      <c r="BD156" s="141"/>
      <c r="BE156" s="141"/>
      <c r="BF156" s="141"/>
      <c r="BG156" s="141"/>
      <c r="BH156" s="142"/>
    </row>
    <row r="157" spans="46:60" x14ac:dyDescent="0.25">
      <c r="AT157" s="307"/>
      <c r="AU157" s="307"/>
      <c r="AV157" s="307"/>
      <c r="AW157" s="307"/>
      <c r="AX157" s="307"/>
      <c r="AY157" s="307"/>
      <c r="AZ157" s="307"/>
      <c r="BA157" s="307"/>
      <c r="BB157" s="307"/>
      <c r="BC157" s="307"/>
      <c r="BD157" s="307"/>
      <c r="BE157" s="307"/>
      <c r="BF157" s="307"/>
      <c r="BG157" s="307"/>
      <c r="BH157" s="307"/>
    </row>
    <row r="158" spans="46:60" x14ac:dyDescent="0.25">
      <c r="AT158" s="307"/>
      <c r="AU158" s="307"/>
      <c r="AV158" s="307"/>
      <c r="AW158" s="307"/>
      <c r="AX158" s="307"/>
      <c r="AY158" s="307"/>
      <c r="AZ158" s="307"/>
      <c r="BA158" s="307"/>
      <c r="BB158" s="307"/>
      <c r="BC158" s="307"/>
      <c r="BD158" s="307"/>
      <c r="BE158" s="307"/>
      <c r="BF158" s="307"/>
      <c r="BG158" s="307"/>
      <c r="BH158" s="307"/>
    </row>
    <row r="159" spans="46:60" x14ac:dyDescent="0.25">
      <c r="AT159" s="307"/>
      <c r="AU159" s="307"/>
      <c r="AV159" s="307"/>
      <c r="AW159" s="307"/>
      <c r="AX159" s="307"/>
      <c r="AY159" s="307"/>
      <c r="AZ159" s="307"/>
      <c r="BA159" s="307"/>
      <c r="BB159" s="307"/>
      <c r="BC159" s="307"/>
      <c r="BD159" s="307"/>
      <c r="BE159" s="307"/>
      <c r="BF159" s="307"/>
      <c r="BG159" s="307"/>
      <c r="BH159" s="307"/>
    </row>
    <row r="160" spans="46:60" x14ac:dyDescent="0.25">
      <c r="AT160" s="307"/>
      <c r="AU160" s="307"/>
      <c r="AV160" s="307"/>
      <c r="AW160" s="307"/>
      <c r="AX160" s="307"/>
      <c r="AY160" s="307"/>
      <c r="AZ160" s="307"/>
      <c r="BA160" s="307"/>
      <c r="BB160" s="307"/>
      <c r="BC160" s="307"/>
      <c r="BD160" s="307"/>
      <c r="BE160" s="307"/>
      <c r="BF160" s="307"/>
      <c r="BG160" s="307"/>
      <c r="BH160" s="307"/>
    </row>
    <row r="161" spans="46:60" x14ac:dyDescent="0.25">
      <c r="AT161" s="307"/>
      <c r="AU161" s="307"/>
      <c r="AV161" s="307"/>
      <c r="AW161" s="307"/>
      <c r="AX161" s="307"/>
      <c r="AY161" s="307"/>
      <c r="AZ161" s="307"/>
      <c r="BA161" s="307"/>
      <c r="BB161" s="307"/>
      <c r="BC161" s="307"/>
      <c r="BD161" s="307"/>
      <c r="BE161" s="307"/>
      <c r="BF161" s="307"/>
      <c r="BG161" s="307"/>
      <c r="BH161" s="307"/>
    </row>
    <row r="162" spans="46:60" x14ac:dyDescent="0.25">
      <c r="AT162" s="307"/>
      <c r="AU162" s="307"/>
      <c r="AV162" s="307"/>
      <c r="AW162" s="307"/>
      <c r="AX162" s="307"/>
      <c r="AY162" s="307"/>
      <c r="AZ162" s="307"/>
      <c r="BA162" s="307"/>
      <c r="BB162" s="307"/>
      <c r="BC162" s="307"/>
      <c r="BD162" s="307"/>
      <c r="BE162" s="307"/>
      <c r="BF162" s="307"/>
      <c r="BG162" s="307"/>
      <c r="BH162" s="307"/>
    </row>
    <row r="163" spans="46:60" x14ac:dyDescent="0.25">
      <c r="AT163" s="307"/>
      <c r="AU163" s="307"/>
      <c r="AV163" s="307"/>
      <c r="AW163" s="307"/>
      <c r="AX163" s="307"/>
      <c r="AY163" s="307"/>
      <c r="AZ163" s="307"/>
      <c r="BA163" s="307"/>
      <c r="BB163" s="307"/>
      <c r="BC163" s="307"/>
      <c r="BD163" s="307"/>
      <c r="BE163" s="307"/>
      <c r="BF163" s="307"/>
      <c r="BG163" s="307"/>
      <c r="BH163" s="307"/>
    </row>
    <row r="164" spans="46:60" x14ac:dyDescent="0.25">
      <c r="AT164" s="307"/>
      <c r="AU164" s="307"/>
      <c r="AV164" s="307"/>
      <c r="AW164" s="307"/>
      <c r="AX164" s="307"/>
      <c r="AY164" s="307"/>
      <c r="AZ164" s="307"/>
      <c r="BA164" s="307"/>
      <c r="BB164" s="307"/>
      <c r="BC164" s="307"/>
      <c r="BD164" s="307"/>
      <c r="BE164" s="307"/>
      <c r="BF164" s="307"/>
      <c r="BG164" s="307"/>
      <c r="BH164" s="307"/>
    </row>
    <row r="165" spans="46:60" x14ac:dyDescent="0.25">
      <c r="AT165" s="307"/>
      <c r="AU165" s="307"/>
      <c r="AV165" s="307"/>
      <c r="AW165" s="307"/>
      <c r="AX165" s="307"/>
      <c r="AY165" s="307"/>
      <c r="AZ165" s="307"/>
      <c r="BA165" s="307"/>
      <c r="BB165" s="307"/>
      <c r="BC165" s="307"/>
      <c r="BD165" s="307"/>
      <c r="BE165" s="307"/>
      <c r="BF165" s="307"/>
      <c r="BG165" s="307"/>
      <c r="BH165" s="307"/>
    </row>
    <row r="166" spans="46:60" x14ac:dyDescent="0.25">
      <c r="AT166" s="307"/>
      <c r="AU166" s="307"/>
      <c r="AV166" s="307"/>
      <c r="AW166" s="307"/>
      <c r="AX166" s="307"/>
      <c r="AY166" s="307"/>
      <c r="AZ166" s="307"/>
      <c r="BA166" s="307"/>
      <c r="BB166" s="307"/>
      <c r="BC166" s="307"/>
      <c r="BD166" s="307"/>
      <c r="BE166" s="307"/>
      <c r="BF166" s="307"/>
      <c r="BG166" s="307"/>
      <c r="BH166" s="307"/>
    </row>
    <row r="167" spans="46:60" x14ac:dyDescent="0.25">
      <c r="AT167" s="307"/>
      <c r="AU167" s="307"/>
      <c r="AV167" s="307"/>
      <c r="AW167" s="307"/>
      <c r="AX167" s="307"/>
      <c r="AY167" s="307"/>
      <c r="AZ167" s="307"/>
      <c r="BA167" s="307"/>
      <c r="BB167" s="307"/>
      <c r="BC167" s="307"/>
      <c r="BD167" s="307"/>
      <c r="BE167" s="307"/>
      <c r="BF167" s="307"/>
      <c r="BG167" s="307"/>
      <c r="BH167" s="307"/>
    </row>
    <row r="168" spans="46:60" x14ac:dyDescent="0.25">
      <c r="AT168" s="307"/>
      <c r="AU168" s="307"/>
      <c r="AV168" s="307"/>
      <c r="AW168" s="307"/>
      <c r="AX168" s="307"/>
      <c r="AY168" s="307"/>
      <c r="AZ168" s="307"/>
      <c r="BA168" s="307"/>
      <c r="BB168" s="307"/>
      <c r="BC168" s="307"/>
      <c r="BD168" s="307"/>
      <c r="BE168" s="307"/>
      <c r="BF168" s="307"/>
      <c r="BG168" s="307"/>
      <c r="BH168" s="307"/>
    </row>
    <row r="169" spans="46:60" x14ac:dyDescent="0.25">
      <c r="AT169" s="307"/>
      <c r="AU169" s="307"/>
      <c r="AV169" s="307"/>
      <c r="AW169" s="307"/>
      <c r="AX169" s="307"/>
      <c r="AY169" s="307"/>
      <c r="AZ169" s="307"/>
      <c r="BA169" s="307"/>
      <c r="BB169" s="307"/>
      <c r="BC169" s="307"/>
      <c r="BD169" s="307"/>
      <c r="BE169" s="307"/>
      <c r="BF169" s="307"/>
      <c r="BG169" s="307"/>
      <c r="BH169" s="307"/>
    </row>
    <row r="170" spans="46:60" x14ac:dyDescent="0.25">
      <c r="AT170" s="307"/>
      <c r="AU170" s="307"/>
      <c r="AV170" s="307"/>
      <c r="AW170" s="307"/>
      <c r="AX170" s="307"/>
      <c r="AY170" s="307"/>
      <c r="AZ170" s="307"/>
      <c r="BA170" s="307"/>
      <c r="BB170" s="307"/>
      <c r="BC170" s="307"/>
      <c r="BD170" s="307"/>
      <c r="BE170" s="307"/>
      <c r="BF170" s="307"/>
      <c r="BG170" s="307"/>
      <c r="BH170" s="307"/>
    </row>
    <row r="171" spans="46:60" x14ac:dyDescent="0.25">
      <c r="AT171" s="307"/>
      <c r="AU171" s="307"/>
      <c r="AV171" s="307"/>
      <c r="AW171" s="307"/>
      <c r="AX171" s="307"/>
      <c r="AY171" s="307"/>
      <c r="AZ171" s="307"/>
      <c r="BA171" s="307"/>
      <c r="BB171" s="307"/>
      <c r="BC171" s="307"/>
      <c r="BD171" s="307"/>
      <c r="BE171" s="307"/>
      <c r="BF171" s="307"/>
      <c r="BG171" s="307"/>
      <c r="BH171" s="307"/>
    </row>
    <row r="172" spans="46:60" x14ac:dyDescent="0.25">
      <c r="AT172" s="307"/>
      <c r="AU172" s="307"/>
      <c r="AV172" s="307"/>
      <c r="AW172" s="307"/>
      <c r="AX172" s="307"/>
      <c r="AY172" s="307"/>
      <c r="AZ172" s="307"/>
      <c r="BA172" s="307"/>
      <c r="BB172" s="307"/>
      <c r="BC172" s="307"/>
      <c r="BD172" s="307"/>
      <c r="BE172" s="307"/>
      <c r="BF172" s="307"/>
      <c r="BG172" s="307"/>
      <c r="BH172" s="307"/>
    </row>
    <row r="173" spans="46:60" x14ac:dyDescent="0.25">
      <c r="AT173" s="307"/>
      <c r="AU173" s="307"/>
      <c r="AV173" s="307"/>
      <c r="AW173" s="307"/>
      <c r="AX173" s="307"/>
      <c r="AY173" s="307"/>
      <c r="AZ173" s="307"/>
      <c r="BA173" s="307"/>
      <c r="BB173" s="307"/>
      <c r="BC173" s="307"/>
      <c r="BD173" s="307"/>
      <c r="BE173" s="307"/>
      <c r="BF173" s="307"/>
      <c r="BG173" s="307"/>
      <c r="BH173" s="307"/>
    </row>
  </sheetData>
  <mergeCells count="206">
    <mergeCell ref="C30:D30"/>
    <mergeCell ref="C31:D31"/>
    <mergeCell ref="C32:D32"/>
    <mergeCell ref="U10:V10"/>
    <mergeCell ref="E10:F10"/>
    <mergeCell ref="E22:F22"/>
    <mergeCell ref="C29:F29"/>
    <mergeCell ref="AN46:AO46"/>
    <mergeCell ref="Y18:Z18"/>
    <mergeCell ref="U43:V43"/>
    <mergeCell ref="AH18:AI18"/>
    <mergeCell ref="AN44:AO44"/>
    <mergeCell ref="U38:V38"/>
    <mergeCell ref="AD22:AG22"/>
    <mergeCell ref="AD23:AE23"/>
    <mergeCell ref="AJ28:AK28"/>
    <mergeCell ref="AD24:AE24"/>
    <mergeCell ref="AD25:AE25"/>
    <mergeCell ref="E43:F43"/>
    <mergeCell ref="V93:W93"/>
    <mergeCell ref="Q78:R78"/>
    <mergeCell ref="Q77:R77"/>
    <mergeCell ref="Q76:R76"/>
    <mergeCell ref="O93:P93"/>
    <mergeCell ref="I93:J93"/>
    <mergeCell ref="J75:N75"/>
    <mergeCell ref="J76:L76"/>
    <mergeCell ref="J80:L80"/>
    <mergeCell ref="J79:L79"/>
    <mergeCell ref="J78:L78"/>
    <mergeCell ref="AB62:AF62"/>
    <mergeCell ref="W51:X51"/>
    <mergeCell ref="AA28:AB28"/>
    <mergeCell ref="AL76:AQ76"/>
    <mergeCell ref="AB63:AF63"/>
    <mergeCell ref="U37:X37"/>
    <mergeCell ref="Q75:T75"/>
    <mergeCell ref="AB71:AD71"/>
    <mergeCell ref="AB69:AD69"/>
    <mergeCell ref="AB68:AD68"/>
    <mergeCell ref="AB70:AF70"/>
    <mergeCell ref="AB66:AD66"/>
    <mergeCell ref="AB67:AF67"/>
    <mergeCell ref="AB73:AD73"/>
    <mergeCell ref="AB72:AD72"/>
    <mergeCell ref="AB65:AD65"/>
    <mergeCell ref="AB64:AD64"/>
    <mergeCell ref="AL79:AO79"/>
    <mergeCell ref="AA93:AC93"/>
    <mergeCell ref="AA82:AQ82"/>
    <mergeCell ref="AL77:AO77"/>
    <mergeCell ref="AL78:AO78"/>
    <mergeCell ref="AA85:AC85"/>
    <mergeCell ref="AA86:AC86"/>
    <mergeCell ref="AA87:AC87"/>
    <mergeCell ref="AA88:AC88"/>
    <mergeCell ref="AA89:AC89"/>
    <mergeCell ref="AA90:AC90"/>
    <mergeCell ref="AA91:AC91"/>
    <mergeCell ref="AA92:AC92"/>
    <mergeCell ref="AU11:AX11"/>
    <mergeCell ref="AU10:AX10"/>
    <mergeCell ref="AU9:AX9"/>
    <mergeCell ref="AU8:AX8"/>
    <mergeCell ref="AU7:AX7"/>
    <mergeCell ref="AU17:AX17"/>
    <mergeCell ref="AU18:AX18"/>
    <mergeCell ref="AU16:AX16"/>
    <mergeCell ref="AU15:AX15"/>
    <mergeCell ref="AU12:AX12"/>
    <mergeCell ref="AU19:AX19"/>
    <mergeCell ref="AU20:AX20"/>
    <mergeCell ref="AU21:AX21"/>
    <mergeCell ref="AU13:AX13"/>
    <mergeCell ref="AU14:AX14"/>
    <mergeCell ref="AU32:AX32"/>
    <mergeCell ref="AU33:AX33"/>
    <mergeCell ref="AU27:AX27"/>
    <mergeCell ref="AU28:AX28"/>
    <mergeCell ref="AU29:AX29"/>
    <mergeCell ref="AU30:AX30"/>
    <mergeCell ref="AU31:AX31"/>
    <mergeCell ref="AU22:AX22"/>
    <mergeCell ref="AU23:AX23"/>
    <mergeCell ref="AU25:AX25"/>
    <mergeCell ref="AU26:AX26"/>
    <mergeCell ref="AU53:AX53"/>
    <mergeCell ref="AU45:AX45"/>
    <mergeCell ref="AU46:AX46"/>
    <mergeCell ref="AU47:AX47"/>
    <mergeCell ref="AU48:AX48"/>
    <mergeCell ref="AU35:AX35"/>
    <mergeCell ref="AU36:AX36"/>
    <mergeCell ref="AU37:AX37"/>
    <mergeCell ref="AU39:AX39"/>
    <mergeCell ref="AU40:AX40"/>
    <mergeCell ref="BD44:BG44"/>
    <mergeCell ref="AT2:BH2"/>
    <mergeCell ref="AU63:AX63"/>
    <mergeCell ref="AU64:AX64"/>
    <mergeCell ref="AU59:AX59"/>
    <mergeCell ref="AU60:AX60"/>
    <mergeCell ref="AU61:AX61"/>
    <mergeCell ref="BD47:BE47"/>
    <mergeCell ref="BD52:BE52"/>
    <mergeCell ref="BD51:BE51"/>
    <mergeCell ref="BD50:BE50"/>
    <mergeCell ref="BD49:BE49"/>
    <mergeCell ref="BD48:BE48"/>
    <mergeCell ref="BD46:BE46"/>
    <mergeCell ref="BD45:BE45"/>
    <mergeCell ref="AU54:AX54"/>
    <mergeCell ref="AU55:AX55"/>
    <mergeCell ref="AU56:AX56"/>
    <mergeCell ref="AU57:AX57"/>
    <mergeCell ref="AU58:AX58"/>
    <mergeCell ref="AU49:AX49"/>
    <mergeCell ref="AU50:AX50"/>
    <mergeCell ref="AU51:AX51"/>
    <mergeCell ref="AU52:AX52"/>
    <mergeCell ref="AU77:AX77"/>
    <mergeCell ref="AU42:BG42"/>
    <mergeCell ref="AU4:BG4"/>
    <mergeCell ref="AU79:BG79"/>
    <mergeCell ref="AU92:AX92"/>
    <mergeCell ref="AU91:AX91"/>
    <mergeCell ref="AU90:AX90"/>
    <mergeCell ref="AU89:AX89"/>
    <mergeCell ref="AU87:AX87"/>
    <mergeCell ref="AU85:AX85"/>
    <mergeCell ref="AU84:AX84"/>
    <mergeCell ref="AU83:AX83"/>
    <mergeCell ref="AU82:AX82"/>
    <mergeCell ref="AU70:AX70"/>
    <mergeCell ref="AU71:AX71"/>
    <mergeCell ref="AU73:AX73"/>
    <mergeCell ref="AU74:AX74"/>
    <mergeCell ref="AU76:AX76"/>
    <mergeCell ref="AU65:AX65"/>
    <mergeCell ref="AU66:AX66"/>
    <mergeCell ref="AU67:AX67"/>
    <mergeCell ref="AU68:AX68"/>
    <mergeCell ref="AU69:AX69"/>
    <mergeCell ref="BD53:BE53"/>
    <mergeCell ref="AU98:AX98"/>
    <mergeCell ref="AU99:AX99"/>
    <mergeCell ref="AU100:AX100"/>
    <mergeCell ref="AU101:AX101"/>
    <mergeCell ref="AU102:AX102"/>
    <mergeCell ref="AU93:AX93"/>
    <mergeCell ref="AU94:AX94"/>
    <mergeCell ref="AU96:AX96"/>
    <mergeCell ref="AU97:AX97"/>
    <mergeCell ref="AU95:BB95"/>
    <mergeCell ref="AU108:AX108"/>
    <mergeCell ref="AU109:AX109"/>
    <mergeCell ref="AU110:AX110"/>
    <mergeCell ref="AU112:AX112"/>
    <mergeCell ref="AU104:AX104"/>
    <mergeCell ref="AU105:AX105"/>
    <mergeCell ref="AU106:AX106"/>
    <mergeCell ref="AU107:AX107"/>
    <mergeCell ref="AU103:BB103"/>
    <mergeCell ref="AU111:BB111"/>
    <mergeCell ref="AU133:AY133"/>
    <mergeCell ref="AU139:AX139"/>
    <mergeCell ref="AU138:AX138"/>
    <mergeCell ref="AU137:AX137"/>
    <mergeCell ref="AU136:AX136"/>
    <mergeCell ref="AU128:AX128"/>
    <mergeCell ref="AU129:AX129"/>
    <mergeCell ref="AU116:BB116"/>
    <mergeCell ref="AU121:BB121"/>
    <mergeCell ref="AU123:AX123"/>
    <mergeCell ref="AU124:AX124"/>
    <mergeCell ref="AU125:AX125"/>
    <mergeCell ref="AU126:AX126"/>
    <mergeCell ref="AU127:AX127"/>
    <mergeCell ref="AU118:AX118"/>
    <mergeCell ref="AU119:AX119"/>
    <mergeCell ref="AU120:AX120"/>
    <mergeCell ref="AU122:AX122"/>
    <mergeCell ref="BC56:BD56"/>
    <mergeCell ref="AZ153:BA153"/>
    <mergeCell ref="AZ152:BA152"/>
    <mergeCell ref="AZ151:BA151"/>
    <mergeCell ref="AZ150:BA150"/>
    <mergeCell ref="AZ149:BA149"/>
    <mergeCell ref="AU151:AX151"/>
    <mergeCell ref="AU152:AX152"/>
    <mergeCell ref="AU153:AX153"/>
    <mergeCell ref="AU144:BG144"/>
    <mergeCell ref="AU146:AX146"/>
    <mergeCell ref="AU148:AX148"/>
    <mergeCell ref="AU149:AX149"/>
    <mergeCell ref="AU150:AX150"/>
    <mergeCell ref="AU147:AX147"/>
    <mergeCell ref="AZ148:BA148"/>
    <mergeCell ref="AY147:BA147"/>
    <mergeCell ref="AY146:BA146"/>
    <mergeCell ref="AU113:AX113"/>
    <mergeCell ref="AU114:AX114"/>
    <mergeCell ref="AU115:AX115"/>
    <mergeCell ref="AU117:AX117"/>
    <mergeCell ref="AU130:AX130"/>
    <mergeCell ref="AU132:AY132"/>
  </mergeCells>
  <phoneticPr fontId="2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6CC5C-1A28-480E-AB62-6978471CD8EA}">
  <sheetPr codeName="Hoja7"/>
  <dimension ref="B1:AM75"/>
  <sheetViews>
    <sheetView showGridLines="0" topLeftCell="L17" zoomScale="115" zoomScaleNormal="115" workbookViewId="0">
      <selection activeCell="P23" sqref="P23"/>
    </sheetView>
  </sheetViews>
  <sheetFormatPr baseColWidth="10" defaultColWidth="11.42578125" defaultRowHeight="15" x14ac:dyDescent="0.25"/>
  <cols>
    <col min="1" max="1" width="5.140625" style="307" customWidth="1"/>
    <col min="2" max="2" width="6.7109375" style="307" customWidth="1"/>
    <col min="3" max="4" width="11.42578125" style="307"/>
    <col min="5" max="5" width="13.5703125" style="307" bestFit="1" customWidth="1"/>
    <col min="6" max="14" width="11.42578125" style="307"/>
    <col min="15" max="15" width="12.42578125" style="307" bestFit="1" customWidth="1"/>
    <col min="16" max="20" width="11.42578125" style="307"/>
    <col min="21" max="21" width="12.42578125" style="307" bestFit="1" customWidth="1"/>
    <col min="22" max="26" width="11.42578125" style="307"/>
    <col min="27" max="27" width="6.7109375" style="307" customWidth="1"/>
    <col min="28" max="28" width="4.5703125" style="307" customWidth="1"/>
    <col min="29" max="29" width="5.42578125" style="307" customWidth="1"/>
    <col min="30" max="36" width="11.42578125" style="307"/>
    <col min="37" max="37" width="4.42578125" style="307" customWidth="1"/>
    <col min="38" max="16384" width="11.42578125" style="307"/>
  </cols>
  <sheetData>
    <row r="1" spans="2:39" ht="15.75" thickBot="1" x14ac:dyDescent="0.3"/>
    <row r="2" spans="2:39" ht="15.75" thickBot="1" x14ac:dyDescent="0.3">
      <c r="B2" s="133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5"/>
      <c r="AC2" s="874" t="s">
        <v>74</v>
      </c>
      <c r="AD2" s="875"/>
      <c r="AE2" s="875"/>
      <c r="AF2" s="875"/>
      <c r="AG2" s="875"/>
      <c r="AH2" s="875"/>
      <c r="AI2" s="875"/>
      <c r="AJ2" s="875"/>
      <c r="AK2" s="876"/>
    </row>
    <row r="3" spans="2:39" ht="15.75" thickBot="1" x14ac:dyDescent="0.3">
      <c r="B3" s="136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8"/>
      <c r="AC3" s="391"/>
      <c r="AD3" s="392"/>
      <c r="AE3" s="392"/>
      <c r="AF3" s="392"/>
      <c r="AG3" s="392"/>
      <c r="AH3" s="392"/>
      <c r="AI3" s="392"/>
      <c r="AJ3" s="392"/>
      <c r="AK3" s="393"/>
    </row>
    <row r="4" spans="2:39" ht="15.75" thickBot="1" x14ac:dyDescent="0.3">
      <c r="B4" s="136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902" t="s">
        <v>324</v>
      </c>
      <c r="N4" s="912"/>
      <c r="O4" s="912"/>
      <c r="P4" s="913"/>
      <c r="Q4" s="137"/>
      <c r="R4" s="137"/>
      <c r="S4" s="902" t="s">
        <v>325</v>
      </c>
      <c r="T4" s="903"/>
      <c r="U4" s="903"/>
      <c r="V4" s="903"/>
      <c r="W4" s="904"/>
      <c r="X4" s="137"/>
      <c r="Y4" s="137"/>
      <c r="Z4" s="137"/>
      <c r="AA4" s="138"/>
      <c r="AC4" s="394"/>
      <c r="AD4" s="826" t="s">
        <v>326</v>
      </c>
      <c r="AE4" s="827"/>
      <c r="AF4" s="827"/>
      <c r="AG4" s="827"/>
      <c r="AH4" s="827"/>
      <c r="AI4" s="827"/>
      <c r="AJ4" s="828"/>
      <c r="AK4" s="395"/>
    </row>
    <row r="5" spans="2:39" ht="15.75" thickBot="1" x14ac:dyDescent="0.3">
      <c r="B5" s="136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923" t="s">
        <v>191</v>
      </c>
      <c r="N5" s="924"/>
      <c r="O5" s="119">
        <v>0</v>
      </c>
      <c r="P5" s="99" t="s">
        <v>6</v>
      </c>
      <c r="Q5" s="137"/>
      <c r="R5" s="137"/>
      <c r="S5" s="923" t="s">
        <v>209</v>
      </c>
      <c r="T5" s="927"/>
      <c r="U5" s="924"/>
      <c r="V5" s="121">
        <v>23.7</v>
      </c>
      <c r="W5" s="96" t="s">
        <v>3</v>
      </c>
      <c r="X5" s="137"/>
      <c r="Y5" s="137"/>
      <c r="Z5" s="137"/>
      <c r="AA5" s="138"/>
      <c r="AC5" s="394"/>
      <c r="AD5" s="378"/>
      <c r="AE5" s="378"/>
      <c r="AF5" s="378"/>
      <c r="AG5" s="378"/>
      <c r="AH5" s="378"/>
      <c r="AI5" s="378"/>
      <c r="AJ5" s="378"/>
      <c r="AK5" s="395"/>
    </row>
    <row r="6" spans="2:39" ht="15.75" thickBot="1" x14ac:dyDescent="0.3">
      <c r="B6" s="136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920" t="s">
        <v>193</v>
      </c>
      <c r="N6" s="922"/>
      <c r="O6" s="102">
        <f>ABS(R17-L17)</f>
        <v>1.6999999999999993</v>
      </c>
      <c r="P6" s="97" t="s">
        <v>194</v>
      </c>
      <c r="Q6" s="137"/>
      <c r="R6" s="137"/>
      <c r="S6" s="109" t="s">
        <v>10</v>
      </c>
      <c r="T6" s="110"/>
      <c r="U6" s="111"/>
      <c r="V6" s="94">
        <v>0.65</v>
      </c>
      <c r="W6" s="97" t="s">
        <v>25</v>
      </c>
      <c r="X6" s="137"/>
      <c r="Y6" s="137"/>
      <c r="Z6" s="137"/>
      <c r="AA6" s="138"/>
      <c r="AC6" s="394"/>
      <c r="AD6" s="378"/>
      <c r="AE6" s="378"/>
      <c r="AF6" s="378"/>
      <c r="AG6" s="378"/>
      <c r="AH6" s="378"/>
      <c r="AI6" s="385" t="s">
        <v>327</v>
      </c>
      <c r="AJ6" s="386" t="s">
        <v>328</v>
      </c>
      <c r="AK6" s="395"/>
    </row>
    <row r="7" spans="2:39" x14ac:dyDescent="0.25">
      <c r="B7" s="136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928" t="s">
        <v>195</v>
      </c>
      <c r="N7" s="930"/>
      <c r="O7" s="370" cm="1">
        <f t="array" ref="O7">ENTHALPY_REFRIGERANT(L18+273.15,R18+273.15)*'FLOWSHEET ZONE 200'!AZ92</f>
        <v>-7.8200503118573028</v>
      </c>
      <c r="P7" s="108" t="s">
        <v>116</v>
      </c>
      <c r="Q7" s="137"/>
      <c r="R7" s="137"/>
      <c r="S7" s="920" t="s">
        <v>241</v>
      </c>
      <c r="T7" s="921"/>
      <c r="U7" s="922"/>
      <c r="V7" s="100">
        <f>V8/V9</f>
        <v>0.10067386750833414</v>
      </c>
      <c r="W7" s="97" t="s">
        <v>25</v>
      </c>
      <c r="X7" s="137"/>
      <c r="Y7" s="137"/>
      <c r="Z7" s="137"/>
      <c r="AA7" s="138"/>
      <c r="AC7" s="394"/>
      <c r="AD7" s="888" t="s">
        <v>92</v>
      </c>
      <c r="AE7" s="889"/>
      <c r="AF7" s="889"/>
      <c r="AG7" s="890"/>
      <c r="AH7" s="224" t="s">
        <v>91</v>
      </c>
      <c r="AI7" s="469">
        <v>200</v>
      </c>
      <c r="AJ7" s="470">
        <v>200</v>
      </c>
      <c r="AK7" s="395"/>
    </row>
    <row r="8" spans="2:39" x14ac:dyDescent="0.25">
      <c r="B8" s="136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947" t="s">
        <v>329</v>
      </c>
      <c r="N8" s="948"/>
      <c r="O8" s="101">
        <f>ABS(O7)/O9</f>
        <v>1.5734507669733004</v>
      </c>
      <c r="P8" s="97" t="s">
        <v>25</v>
      </c>
      <c r="Q8" s="137"/>
      <c r="R8" s="137"/>
      <c r="S8" s="928" t="s">
        <v>243</v>
      </c>
      <c r="T8" s="929"/>
      <c r="U8" s="930"/>
      <c r="V8" s="117">
        <f>( CONVERT(X15-R17,"psi","kPa")*(1/1072.68888368262)*'FLOWSHEET ZONE 200'!AZ92 )/V6</f>
        <v>7.5505400631250608E-2</v>
      </c>
      <c r="W8" s="108" t="s">
        <v>116</v>
      </c>
      <c r="X8" s="137"/>
      <c r="Y8" s="137"/>
      <c r="Z8" s="137"/>
      <c r="AA8" s="138"/>
      <c r="AC8" s="394"/>
      <c r="AD8" s="880" t="s">
        <v>90</v>
      </c>
      <c r="AE8" s="881"/>
      <c r="AF8" s="881"/>
      <c r="AG8" s="882"/>
      <c r="AH8" s="227" t="s">
        <v>91</v>
      </c>
      <c r="AI8" s="231">
        <v>150</v>
      </c>
      <c r="AJ8" s="233">
        <v>150</v>
      </c>
      <c r="AK8" s="395"/>
    </row>
    <row r="9" spans="2:39" ht="15.75" thickBot="1" x14ac:dyDescent="0.3">
      <c r="B9" s="136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949" t="s">
        <v>330</v>
      </c>
      <c r="N9" s="950"/>
      <c r="O9" s="120">
        <v>4.97</v>
      </c>
      <c r="P9" s="98" t="s">
        <v>116</v>
      </c>
      <c r="Q9" s="137"/>
      <c r="R9" s="137"/>
      <c r="S9" s="917" t="s">
        <v>115</v>
      </c>
      <c r="T9" s="918"/>
      <c r="U9" s="919"/>
      <c r="V9" s="107">
        <v>0.75</v>
      </c>
      <c r="W9" s="98" t="s">
        <v>116</v>
      </c>
      <c r="X9" s="137"/>
      <c r="Y9" s="137"/>
      <c r="Z9" s="137"/>
      <c r="AA9" s="138"/>
      <c r="AC9" s="394"/>
      <c r="AD9" s="883" t="s">
        <v>331</v>
      </c>
      <c r="AE9" s="884"/>
      <c r="AF9" s="884"/>
      <c r="AG9" s="885"/>
      <c r="AH9" s="226" t="s">
        <v>25</v>
      </c>
      <c r="AI9" s="334" t="s">
        <v>332</v>
      </c>
      <c r="AJ9" s="335" t="s">
        <v>332</v>
      </c>
      <c r="AK9" s="395"/>
    </row>
    <row r="10" spans="2:39" x14ac:dyDescent="0.25">
      <c r="B10" s="136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8"/>
      <c r="AC10" s="394"/>
      <c r="AD10" s="935"/>
      <c r="AE10" s="935"/>
      <c r="AF10" s="935"/>
      <c r="AG10" s="935"/>
      <c r="AH10" s="378"/>
      <c r="AI10" s="378"/>
      <c r="AJ10" s="378"/>
      <c r="AK10" s="395"/>
    </row>
    <row r="11" spans="2:39" x14ac:dyDescent="0.25">
      <c r="B11" s="136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8"/>
      <c r="AC11" s="394"/>
      <c r="AD11" s="728" t="s">
        <v>95</v>
      </c>
      <c r="AE11" s="728"/>
      <c r="AF11" s="728"/>
      <c r="AG11" s="728"/>
      <c r="AH11" s="309" t="s">
        <v>96</v>
      </c>
      <c r="AI11" s="313">
        <v>588</v>
      </c>
      <c r="AJ11" s="313">
        <v>588</v>
      </c>
      <c r="AK11" s="395"/>
    </row>
    <row r="12" spans="2:39" x14ac:dyDescent="0.25">
      <c r="B12" s="136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8"/>
      <c r="AC12" s="394"/>
      <c r="AD12" s="728" t="s">
        <v>99</v>
      </c>
      <c r="AE12" s="728"/>
      <c r="AF12" s="728"/>
      <c r="AG12" s="728"/>
      <c r="AH12" s="309" t="s">
        <v>96</v>
      </c>
      <c r="AI12" s="313">
        <f>200/2</f>
        <v>100</v>
      </c>
      <c r="AJ12" s="313">
        <f>200/2</f>
        <v>100</v>
      </c>
      <c r="AK12" s="395"/>
    </row>
    <row r="13" spans="2:39" ht="15.75" thickBot="1" x14ac:dyDescent="0.3">
      <c r="B13" s="136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8"/>
      <c r="AC13" s="394"/>
      <c r="AD13" s="728" t="s">
        <v>60</v>
      </c>
      <c r="AE13" s="728"/>
      <c r="AF13" s="728"/>
      <c r="AG13" s="728"/>
      <c r="AH13" s="309" t="s">
        <v>25</v>
      </c>
      <c r="AI13" s="468">
        <v>0.19</v>
      </c>
      <c r="AJ13" s="468">
        <v>0.19</v>
      </c>
      <c r="AK13" s="395"/>
      <c r="AM13" s="471"/>
    </row>
    <row r="14" spans="2:39" x14ac:dyDescent="0.25">
      <c r="B14" s="136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12" t="s">
        <v>75</v>
      </c>
      <c r="X14" s="105">
        <f>R16</f>
        <v>3211.2558330186171</v>
      </c>
      <c r="Y14" s="99" t="s">
        <v>73</v>
      </c>
      <c r="Z14" s="137"/>
      <c r="AA14" s="138"/>
      <c r="AC14" s="394"/>
      <c r="AD14" s="728" t="s">
        <v>100</v>
      </c>
      <c r="AE14" s="728"/>
      <c r="AF14" s="728"/>
      <c r="AG14" s="728"/>
      <c r="AH14" s="309" t="s">
        <v>96</v>
      </c>
      <c r="AI14" s="313">
        <f>( SUM(AI11:AI12)*(1+AI13) )</f>
        <v>818.71999999999991</v>
      </c>
      <c r="AJ14" s="313">
        <f>( SUM(AJ11:AJ12)*(1+AJ13) )</f>
        <v>818.71999999999991</v>
      </c>
      <c r="AK14" s="395"/>
    </row>
    <row r="15" spans="2:39" ht="15.75" thickBot="1" x14ac:dyDescent="0.3">
      <c r="B15" s="136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13" t="s">
        <v>19</v>
      </c>
      <c r="X15" s="121">
        <f>V5</f>
        <v>23.7</v>
      </c>
      <c r="Y15" s="96" t="s">
        <v>3</v>
      </c>
      <c r="Z15" s="137"/>
      <c r="AA15" s="138"/>
      <c r="AC15" s="394"/>
      <c r="AD15" s="735" t="s">
        <v>101</v>
      </c>
      <c r="AE15" s="735"/>
      <c r="AF15" s="735"/>
      <c r="AG15" s="735"/>
      <c r="AH15" s="319" t="s">
        <v>96</v>
      </c>
      <c r="AI15" s="329">
        <f>AI14*COST_FACTOR</f>
        <v>900.59199999999998</v>
      </c>
      <c r="AJ15" s="329">
        <f>AJ14*COST_FACTOR</f>
        <v>900.59199999999998</v>
      </c>
      <c r="AK15" s="395"/>
    </row>
    <row r="16" spans="2:39" ht="15.75" thickBot="1" x14ac:dyDescent="0.3">
      <c r="B16" s="136"/>
      <c r="C16" s="137"/>
      <c r="D16" s="112" t="s">
        <v>75</v>
      </c>
      <c r="E16" s="105">
        <f>'FLOWSHEET ZONE 200'!AZ92*60*(EXT_TIME)</f>
        <v>3211.2558330186171</v>
      </c>
      <c r="F16" s="99" t="s">
        <v>73</v>
      </c>
      <c r="G16" s="336"/>
      <c r="H16" s="336"/>
      <c r="I16" s="336"/>
      <c r="J16" s="137"/>
      <c r="K16" s="112" t="s">
        <v>75</v>
      </c>
      <c r="L16" s="105">
        <f>E16</f>
        <v>3211.2558330186171</v>
      </c>
      <c r="M16" s="99" t="s">
        <v>73</v>
      </c>
      <c r="N16" s="137"/>
      <c r="O16" s="137"/>
      <c r="P16" s="137"/>
      <c r="Q16" s="112" t="s">
        <v>75</v>
      </c>
      <c r="R16" s="105">
        <f>E16</f>
        <v>3211.2558330186171</v>
      </c>
      <c r="S16" s="99" t="s">
        <v>73</v>
      </c>
      <c r="T16" s="137"/>
      <c r="U16" s="137"/>
      <c r="V16" s="137"/>
      <c r="W16" s="114" t="s">
        <v>78</v>
      </c>
      <c r="X16" s="102">
        <f>R18</f>
        <v>0</v>
      </c>
      <c r="Y16" s="97" t="s">
        <v>6</v>
      </c>
      <c r="Z16" s="137"/>
      <c r="AA16" s="138"/>
      <c r="AC16" s="394"/>
      <c r="AD16" s="935"/>
      <c r="AE16" s="935"/>
      <c r="AF16" s="935"/>
      <c r="AG16" s="935"/>
      <c r="AH16" s="378"/>
      <c r="AI16" s="378"/>
      <c r="AJ16" s="378"/>
      <c r="AK16" s="395"/>
    </row>
    <row r="17" spans="2:37" ht="15.75" thickBot="1" x14ac:dyDescent="0.3">
      <c r="B17" s="136"/>
      <c r="C17" s="137"/>
      <c r="D17" s="113" t="s">
        <v>19</v>
      </c>
      <c r="E17" s="95">
        <v>14.7</v>
      </c>
      <c r="F17" s="96" t="s">
        <v>3</v>
      </c>
      <c r="G17" s="336"/>
      <c r="H17" s="336"/>
      <c r="I17" s="336"/>
      <c r="J17" s="137"/>
      <c r="K17" s="113" t="s">
        <v>19</v>
      </c>
      <c r="L17" s="95">
        <f>E17</f>
        <v>14.7</v>
      </c>
      <c r="M17" s="96" t="s">
        <v>3</v>
      </c>
      <c r="N17" s="137"/>
      <c r="O17" s="137"/>
      <c r="P17" s="137"/>
      <c r="Q17" s="113" t="s">
        <v>19</v>
      </c>
      <c r="R17" s="121">
        <v>13</v>
      </c>
      <c r="S17" s="96" t="s">
        <v>3</v>
      </c>
      <c r="T17" s="137"/>
      <c r="U17" s="137"/>
      <c r="V17" s="137"/>
      <c r="W17" s="116" t="s">
        <v>84</v>
      </c>
      <c r="X17" s="925" t="s">
        <v>85</v>
      </c>
      <c r="Y17" s="926"/>
      <c r="Z17" s="137"/>
      <c r="AA17" s="138"/>
      <c r="AC17" s="394"/>
      <c r="AD17" s="826" t="s">
        <v>333</v>
      </c>
      <c r="AE17" s="827"/>
      <c r="AF17" s="827"/>
      <c r="AG17" s="827"/>
      <c r="AH17" s="827"/>
      <c r="AI17" s="827"/>
      <c r="AJ17" s="828"/>
      <c r="AK17" s="395"/>
    </row>
    <row r="18" spans="2:37" ht="15.75" thickBot="1" x14ac:dyDescent="0.3">
      <c r="B18" s="136"/>
      <c r="C18" s="137"/>
      <c r="D18" s="114" t="s">
        <v>78</v>
      </c>
      <c r="E18" s="102">
        <f>'FLOWSHEET ZONE 200'!AZ105</f>
        <v>3.4999998813370325</v>
      </c>
      <c r="F18" s="97" t="s">
        <v>6</v>
      </c>
      <c r="G18" s="336"/>
      <c r="H18" s="336"/>
      <c r="I18" s="336"/>
      <c r="J18" s="137"/>
      <c r="K18" s="114" t="s">
        <v>78</v>
      </c>
      <c r="L18" s="102">
        <f>E18</f>
        <v>3.4999998813370325</v>
      </c>
      <c r="M18" s="97" t="s">
        <v>6</v>
      </c>
      <c r="N18" s="137"/>
      <c r="O18" s="137"/>
      <c r="P18" s="137"/>
      <c r="Q18" s="114" t="s">
        <v>78</v>
      </c>
      <c r="R18" s="102">
        <v>0</v>
      </c>
      <c r="S18" s="97" t="s">
        <v>6</v>
      </c>
      <c r="T18" s="137"/>
      <c r="U18" s="137"/>
      <c r="V18" s="137"/>
      <c r="W18" s="137"/>
      <c r="X18" s="137"/>
      <c r="Y18" s="137"/>
      <c r="Z18" s="137"/>
      <c r="AA18" s="138"/>
      <c r="AC18" s="394"/>
      <c r="AD18" s="935"/>
      <c r="AE18" s="935"/>
      <c r="AF18" s="935"/>
      <c r="AG18" s="935"/>
      <c r="AH18" s="378"/>
      <c r="AI18" s="378"/>
      <c r="AJ18" s="378"/>
      <c r="AK18" s="395"/>
    </row>
    <row r="19" spans="2:37" ht="15.75" thickBot="1" x14ac:dyDescent="0.3">
      <c r="B19" s="136"/>
      <c r="C19" s="137"/>
      <c r="D19" s="116" t="s">
        <v>84</v>
      </c>
      <c r="E19" s="925" t="s">
        <v>85</v>
      </c>
      <c r="F19" s="926"/>
      <c r="G19" s="377"/>
      <c r="H19" s="377"/>
      <c r="I19" s="377"/>
      <c r="J19" s="137"/>
      <c r="K19" s="116" t="s">
        <v>84</v>
      </c>
      <c r="L19" s="925" t="s">
        <v>85</v>
      </c>
      <c r="M19" s="926"/>
      <c r="N19" s="137"/>
      <c r="O19" s="137"/>
      <c r="P19" s="137"/>
      <c r="Q19" s="116" t="s">
        <v>84</v>
      </c>
      <c r="R19" s="925" t="s">
        <v>85</v>
      </c>
      <c r="S19" s="926"/>
      <c r="T19" s="137"/>
      <c r="U19" s="137"/>
      <c r="V19" s="137"/>
      <c r="W19" s="137"/>
      <c r="X19" s="137"/>
      <c r="Y19" s="137"/>
      <c r="Z19" s="137"/>
      <c r="AA19" s="138"/>
      <c r="AC19" s="394"/>
      <c r="AD19" s="935"/>
      <c r="AE19" s="935"/>
      <c r="AF19" s="935"/>
      <c r="AG19" s="935"/>
      <c r="AH19" s="378"/>
      <c r="AI19" s="936" t="s">
        <v>334</v>
      </c>
      <c r="AJ19" s="937"/>
      <c r="AK19" s="395"/>
    </row>
    <row r="20" spans="2:37" ht="15.75" thickBot="1" x14ac:dyDescent="0.3">
      <c r="B20" s="136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8"/>
      <c r="AC20" s="394"/>
      <c r="AD20" s="938" t="s">
        <v>335</v>
      </c>
      <c r="AE20" s="939"/>
      <c r="AF20" s="939"/>
      <c r="AG20" s="940"/>
      <c r="AH20" s="941" t="s">
        <v>336</v>
      </c>
      <c r="AI20" s="942"/>
      <c r="AJ20" s="943"/>
      <c r="AK20" s="395"/>
    </row>
    <row r="21" spans="2:37" x14ac:dyDescent="0.25">
      <c r="B21" s="136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8"/>
      <c r="AC21" s="394"/>
      <c r="AD21" s="959" t="s">
        <v>337</v>
      </c>
      <c r="AE21" s="960"/>
      <c r="AF21" s="960"/>
      <c r="AG21" s="961"/>
      <c r="AH21" s="387" t="s">
        <v>25</v>
      </c>
      <c r="AI21" s="951" t="s">
        <v>338</v>
      </c>
      <c r="AJ21" s="952"/>
      <c r="AK21" s="395"/>
    </row>
    <row r="22" spans="2:37" x14ac:dyDescent="0.25">
      <c r="B22" s="136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8"/>
      <c r="AC22" s="394"/>
      <c r="AD22" s="877" t="s">
        <v>339</v>
      </c>
      <c r="AE22" s="878"/>
      <c r="AF22" s="878"/>
      <c r="AG22" s="879"/>
      <c r="AH22" s="388" t="s">
        <v>116</v>
      </c>
      <c r="AI22" s="955">
        <v>10.5</v>
      </c>
      <c r="AJ22" s="956"/>
      <c r="AK22" s="395"/>
    </row>
    <row r="23" spans="2:37" x14ac:dyDescent="0.25">
      <c r="B23" s="136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8"/>
      <c r="AC23" s="394"/>
      <c r="AD23" s="880" t="s">
        <v>340</v>
      </c>
      <c r="AE23" s="881"/>
      <c r="AF23" s="881"/>
      <c r="AG23" s="882"/>
      <c r="AH23" s="389" t="s">
        <v>6</v>
      </c>
      <c r="AI23" s="957" t="s">
        <v>341</v>
      </c>
      <c r="AJ23" s="958"/>
      <c r="AK23" s="395"/>
    </row>
    <row r="24" spans="2:37" x14ac:dyDescent="0.25">
      <c r="B24" s="136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8"/>
      <c r="AC24" s="394"/>
      <c r="AD24" s="877" t="s">
        <v>342</v>
      </c>
      <c r="AE24" s="878"/>
      <c r="AF24" s="878"/>
      <c r="AG24" s="879"/>
      <c r="AH24" s="388" t="s">
        <v>25</v>
      </c>
      <c r="AI24" s="955" t="s">
        <v>343</v>
      </c>
      <c r="AJ24" s="956"/>
      <c r="AK24" s="395"/>
    </row>
    <row r="25" spans="2:37" x14ac:dyDescent="0.25">
      <c r="B25" s="136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8"/>
      <c r="AC25" s="394"/>
      <c r="AD25" s="880" t="s">
        <v>344</v>
      </c>
      <c r="AE25" s="881"/>
      <c r="AF25" s="881"/>
      <c r="AG25" s="882"/>
      <c r="AH25" s="389" t="s">
        <v>25</v>
      </c>
      <c r="AI25" s="957" t="s">
        <v>345</v>
      </c>
      <c r="AJ25" s="958"/>
      <c r="AK25" s="395"/>
    </row>
    <row r="26" spans="2:37" x14ac:dyDescent="0.25">
      <c r="B26" s="136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8"/>
      <c r="AC26" s="394"/>
      <c r="AD26" s="877" t="s">
        <v>346</v>
      </c>
      <c r="AE26" s="878"/>
      <c r="AF26" s="878"/>
      <c r="AG26" s="879"/>
      <c r="AH26" s="388" t="s">
        <v>116</v>
      </c>
      <c r="AI26" s="955">
        <v>4.97</v>
      </c>
      <c r="AJ26" s="956"/>
      <c r="AK26" s="395"/>
    </row>
    <row r="27" spans="2:37" ht="15.75" thickBot="1" x14ac:dyDescent="0.3">
      <c r="B27" s="136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8"/>
      <c r="AC27" s="394"/>
      <c r="AD27" s="944" t="s">
        <v>40</v>
      </c>
      <c r="AE27" s="945"/>
      <c r="AF27" s="945"/>
      <c r="AG27" s="946"/>
      <c r="AH27" s="390" t="s">
        <v>25</v>
      </c>
      <c r="AI27" s="953">
        <f>AI22/AI26</f>
        <v>2.1126760563380285</v>
      </c>
      <c r="AJ27" s="954"/>
      <c r="AK27" s="395"/>
    </row>
    <row r="28" spans="2:37" ht="15.75" thickBot="1" x14ac:dyDescent="0.3">
      <c r="B28" s="136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8"/>
      <c r="AC28" s="394"/>
      <c r="AD28" s="938" t="s">
        <v>347</v>
      </c>
      <c r="AE28" s="939"/>
      <c r="AF28" s="939"/>
      <c r="AG28" s="940"/>
      <c r="AH28" s="941" t="s">
        <v>348</v>
      </c>
      <c r="AI28" s="942"/>
      <c r="AJ28" s="943"/>
      <c r="AK28" s="395"/>
    </row>
    <row r="29" spans="2:37" ht="15.75" thickBot="1" x14ac:dyDescent="0.3"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902" t="s">
        <v>189</v>
      </c>
      <c r="N29" s="912"/>
      <c r="O29" s="912"/>
      <c r="P29" s="913"/>
      <c r="Q29" s="137"/>
      <c r="R29" s="137"/>
      <c r="S29" s="902" t="s">
        <v>325</v>
      </c>
      <c r="T29" s="903"/>
      <c r="U29" s="903"/>
      <c r="V29" s="903"/>
      <c r="W29" s="904"/>
      <c r="X29" s="137"/>
      <c r="Y29" s="137"/>
      <c r="Z29" s="137"/>
      <c r="AA29" s="138"/>
      <c r="AC29" s="394"/>
      <c r="AD29" s="378"/>
      <c r="AE29" s="378"/>
      <c r="AF29" s="378"/>
      <c r="AG29" s="378"/>
      <c r="AH29" s="378"/>
      <c r="AI29" s="378"/>
      <c r="AJ29" s="378"/>
      <c r="AK29" s="395"/>
    </row>
    <row r="30" spans="2:37" x14ac:dyDescent="0.25">
      <c r="B30" s="136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923" t="s">
        <v>191</v>
      </c>
      <c r="N30" s="924"/>
      <c r="O30" s="119">
        <v>50</v>
      </c>
      <c r="P30" s="99" t="s">
        <v>6</v>
      </c>
      <c r="Q30" s="137"/>
      <c r="R30" s="137"/>
      <c r="S30" s="923" t="s">
        <v>209</v>
      </c>
      <c r="T30" s="927"/>
      <c r="U30" s="924"/>
      <c r="V30" s="121">
        <v>23.7</v>
      </c>
      <c r="W30" s="96" t="s">
        <v>3</v>
      </c>
      <c r="X30" s="137"/>
      <c r="Y30" s="137"/>
      <c r="Z30" s="137"/>
      <c r="AA30" s="138"/>
      <c r="AC30" s="394"/>
      <c r="AD30" s="728" t="s">
        <v>95</v>
      </c>
      <c r="AE30" s="728"/>
      <c r="AF30" s="728"/>
      <c r="AG30" s="728"/>
      <c r="AH30" s="309" t="s">
        <v>96</v>
      </c>
      <c r="AI30" s="713">
        <v>2150</v>
      </c>
      <c r="AJ30" s="713"/>
      <c r="AK30" s="395"/>
    </row>
    <row r="31" spans="2:37" x14ac:dyDescent="0.25">
      <c r="B31" s="136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920" t="s">
        <v>193</v>
      </c>
      <c r="N31" s="922"/>
      <c r="O31" s="102">
        <f>ABS(R42-E42)</f>
        <v>1.6999999999999993</v>
      </c>
      <c r="P31" s="97" t="s">
        <v>194</v>
      </c>
      <c r="Q31" s="137"/>
      <c r="R31" s="137"/>
      <c r="S31" s="109" t="s">
        <v>10</v>
      </c>
      <c r="T31" s="110"/>
      <c r="U31" s="111"/>
      <c r="V31" s="94">
        <v>0.65</v>
      </c>
      <c r="W31" s="97" t="s">
        <v>25</v>
      </c>
      <c r="X31" s="137"/>
      <c r="Y31" s="137"/>
      <c r="Z31" s="137"/>
      <c r="AA31" s="138"/>
      <c r="AC31" s="394"/>
      <c r="AD31" s="728" t="s">
        <v>99</v>
      </c>
      <c r="AE31" s="728"/>
      <c r="AF31" s="728"/>
      <c r="AG31" s="728"/>
      <c r="AH31" s="309" t="s">
        <v>96</v>
      </c>
      <c r="AI31" s="713">
        <v>250</v>
      </c>
      <c r="AJ31" s="713"/>
      <c r="AK31" s="395"/>
    </row>
    <row r="32" spans="2:37" ht="15.75" thickBot="1" x14ac:dyDescent="0.3">
      <c r="B32" s="136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917" t="s">
        <v>195</v>
      </c>
      <c r="N32" s="919"/>
      <c r="O32" s="118">
        <f>'FLOWSHEET ZONE 200'!AZ90/1000</f>
        <v>8.1720647876179129</v>
      </c>
      <c r="P32" s="98" t="s">
        <v>116</v>
      </c>
      <c r="Q32" s="137"/>
      <c r="R32" s="137"/>
      <c r="S32" s="920" t="s">
        <v>241</v>
      </c>
      <c r="T32" s="921"/>
      <c r="U32" s="922"/>
      <c r="V32" s="100">
        <f>V33/V34</f>
        <v>0.10273755762510668</v>
      </c>
      <c r="W32" s="97" t="s">
        <v>25</v>
      </c>
      <c r="X32" s="137"/>
      <c r="Y32" s="137"/>
      <c r="Z32" s="137"/>
      <c r="AA32" s="138"/>
      <c r="AC32" s="394"/>
      <c r="AD32" s="728" t="s">
        <v>60</v>
      </c>
      <c r="AE32" s="728"/>
      <c r="AF32" s="728"/>
      <c r="AG32" s="728"/>
      <c r="AH32" s="309" t="s">
        <v>25</v>
      </c>
      <c r="AI32" s="714">
        <v>0.19</v>
      </c>
      <c r="AJ32" s="714"/>
      <c r="AK32" s="395"/>
    </row>
    <row r="33" spans="2:37" x14ac:dyDescent="0.25">
      <c r="B33" s="136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928" t="s">
        <v>243</v>
      </c>
      <c r="T33" s="929"/>
      <c r="U33" s="930"/>
      <c r="V33" s="117">
        <f>( CONVERT(X40-R42,"psi","kPa")*(1/1051.1417737571)*'FLOWSHEET ZONE 200'!AZ92 )/V31</f>
        <v>7.7053168218830015E-2</v>
      </c>
      <c r="W33" s="108" t="s">
        <v>116</v>
      </c>
      <c r="X33" s="137"/>
      <c r="Y33" s="137"/>
      <c r="Z33" s="137"/>
      <c r="AA33" s="138"/>
      <c r="AC33" s="394"/>
      <c r="AD33" s="728" t="s">
        <v>100</v>
      </c>
      <c r="AE33" s="728"/>
      <c r="AF33" s="728"/>
      <c r="AG33" s="728"/>
      <c r="AH33" s="309" t="s">
        <v>96</v>
      </c>
      <c r="AI33" s="713">
        <f>( SUM(AI30:AJ31)*(1+AI32) )</f>
        <v>2856</v>
      </c>
      <c r="AJ33" s="713"/>
      <c r="AK33" s="395"/>
    </row>
    <row r="34" spans="2:37" ht="15.75" thickBot="1" x14ac:dyDescent="0.3">
      <c r="B34" s="136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917" t="s">
        <v>115</v>
      </c>
      <c r="T34" s="918"/>
      <c r="U34" s="919"/>
      <c r="V34" s="107">
        <v>0.75</v>
      </c>
      <c r="W34" s="98" t="s">
        <v>116</v>
      </c>
      <c r="X34" s="137"/>
      <c r="Y34" s="137"/>
      <c r="Z34" s="137"/>
      <c r="AA34" s="138"/>
      <c r="AC34" s="394"/>
      <c r="AD34" s="735" t="s">
        <v>101</v>
      </c>
      <c r="AE34" s="735"/>
      <c r="AF34" s="735"/>
      <c r="AG34" s="735"/>
      <c r="AH34" s="319" t="s">
        <v>96</v>
      </c>
      <c r="AI34" s="712">
        <f>AI33*COST_FACTOR</f>
        <v>3141.6000000000004</v>
      </c>
      <c r="AJ34" s="712"/>
      <c r="AK34" s="395"/>
    </row>
    <row r="35" spans="2:37" ht="15.75" thickBot="1" x14ac:dyDescent="0.3">
      <c r="B35" s="136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8"/>
      <c r="AC35" s="394"/>
      <c r="AD35" s="378"/>
      <c r="AE35" s="378"/>
      <c r="AF35" s="378"/>
      <c r="AG35" s="378"/>
      <c r="AH35" s="378"/>
      <c r="AI35" s="378"/>
      <c r="AJ35" s="378"/>
      <c r="AK35" s="395"/>
    </row>
    <row r="36" spans="2:37" ht="15.75" thickBot="1" x14ac:dyDescent="0.3">
      <c r="B36" s="136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8"/>
      <c r="AC36" s="394"/>
      <c r="AD36" s="826" t="s">
        <v>349</v>
      </c>
      <c r="AE36" s="827"/>
      <c r="AF36" s="827"/>
      <c r="AG36" s="827"/>
      <c r="AH36" s="827"/>
      <c r="AI36" s="827"/>
      <c r="AJ36" s="828"/>
      <c r="AK36" s="395"/>
    </row>
    <row r="37" spans="2:37" ht="15.75" thickBot="1" x14ac:dyDescent="0.3">
      <c r="B37" s="136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8"/>
      <c r="AC37" s="394"/>
      <c r="AD37" s="378"/>
      <c r="AE37" s="378"/>
      <c r="AF37" s="378"/>
      <c r="AG37" s="378"/>
      <c r="AH37" s="378"/>
      <c r="AI37" s="378"/>
      <c r="AJ37" s="378"/>
      <c r="AK37" s="395"/>
    </row>
    <row r="38" spans="2:37" ht="15.75" thickBot="1" x14ac:dyDescent="0.3">
      <c r="B38" s="136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8"/>
      <c r="AC38" s="394"/>
      <c r="AD38" s="378"/>
      <c r="AE38" s="378"/>
      <c r="AF38" s="378"/>
      <c r="AG38" s="378"/>
      <c r="AH38" s="378"/>
      <c r="AI38" s="385" t="s">
        <v>350</v>
      </c>
      <c r="AJ38" s="386" t="s">
        <v>351</v>
      </c>
      <c r="AK38" s="395"/>
    </row>
    <row r="39" spans="2:37" ht="16.5" x14ac:dyDescent="0.25">
      <c r="B39" s="136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12" t="s">
        <v>75</v>
      </c>
      <c r="X39" s="105">
        <f>R41</f>
        <v>3211.2558330186171</v>
      </c>
      <c r="Y39" s="99" t="s">
        <v>73</v>
      </c>
      <c r="Z39" s="137"/>
      <c r="AA39" s="138"/>
      <c r="AC39" s="394"/>
      <c r="AD39" s="888" t="s">
        <v>352</v>
      </c>
      <c r="AE39" s="889"/>
      <c r="AF39" s="889"/>
      <c r="AG39" s="890"/>
      <c r="AH39" s="224" t="s">
        <v>353</v>
      </c>
      <c r="AI39" s="472">
        <v>3.6</v>
      </c>
      <c r="AJ39" s="473">
        <v>3.6</v>
      </c>
      <c r="AK39" s="395"/>
    </row>
    <row r="40" spans="2:37" ht="15.75" thickBot="1" x14ac:dyDescent="0.3">
      <c r="B40" s="136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13" t="s">
        <v>19</v>
      </c>
      <c r="X40" s="121">
        <f>V30</f>
        <v>23.7</v>
      </c>
      <c r="Y40" s="96" t="s">
        <v>3</v>
      </c>
      <c r="Z40" s="137"/>
      <c r="AA40" s="138"/>
      <c r="AC40" s="394"/>
      <c r="AD40" s="880" t="s">
        <v>354</v>
      </c>
      <c r="AE40" s="881"/>
      <c r="AF40" s="881"/>
      <c r="AG40" s="882"/>
      <c r="AH40" s="227" t="s">
        <v>236</v>
      </c>
      <c r="AI40" s="231">
        <v>16</v>
      </c>
      <c r="AJ40" s="233">
        <v>16</v>
      </c>
      <c r="AK40" s="395"/>
    </row>
    <row r="41" spans="2:37" ht="15.75" thickBot="1" x14ac:dyDescent="0.3">
      <c r="B41" s="136"/>
      <c r="C41" s="137"/>
      <c r="D41" s="112" t="s">
        <v>75</v>
      </c>
      <c r="E41" s="105">
        <f>E16</f>
        <v>3211.2558330186171</v>
      </c>
      <c r="F41" s="99" t="s">
        <v>73</v>
      </c>
      <c r="G41" s="336"/>
      <c r="H41" s="336"/>
      <c r="I41" s="336"/>
      <c r="J41" s="336"/>
      <c r="K41" s="112" t="s">
        <v>75</v>
      </c>
      <c r="L41" s="105">
        <f>E41</f>
        <v>3211.2558330186171</v>
      </c>
      <c r="M41" s="99" t="s">
        <v>73</v>
      </c>
      <c r="N41" s="137"/>
      <c r="O41" s="137"/>
      <c r="P41" s="137"/>
      <c r="Q41" s="112" t="s">
        <v>75</v>
      </c>
      <c r="R41" s="105">
        <f>E41</f>
        <v>3211.2558330186171</v>
      </c>
      <c r="S41" s="99" t="s">
        <v>73</v>
      </c>
      <c r="T41" s="137"/>
      <c r="U41" s="137"/>
      <c r="V41" s="137"/>
      <c r="W41" s="114" t="s">
        <v>78</v>
      </c>
      <c r="X41" s="102">
        <f>R43</f>
        <v>50</v>
      </c>
      <c r="Y41" s="97" t="s">
        <v>6</v>
      </c>
      <c r="Z41" s="137"/>
      <c r="AA41" s="138"/>
      <c r="AC41" s="394"/>
      <c r="AD41" s="883" t="s">
        <v>355</v>
      </c>
      <c r="AE41" s="884"/>
      <c r="AF41" s="884"/>
      <c r="AG41" s="885"/>
      <c r="AH41" s="226" t="s">
        <v>116</v>
      </c>
      <c r="AI41" s="334">
        <v>0.75</v>
      </c>
      <c r="AJ41" s="335">
        <v>0.75</v>
      </c>
      <c r="AK41" s="395"/>
    </row>
    <row r="42" spans="2:37" ht="15.75" thickBot="1" x14ac:dyDescent="0.3">
      <c r="B42" s="136"/>
      <c r="C42" s="137"/>
      <c r="D42" s="113" t="s">
        <v>19</v>
      </c>
      <c r="E42" s="95">
        <v>14.7</v>
      </c>
      <c r="F42" s="96" t="s">
        <v>3</v>
      </c>
      <c r="G42" s="336"/>
      <c r="H42" s="336"/>
      <c r="I42" s="336"/>
      <c r="J42" s="336"/>
      <c r="K42" s="113" t="s">
        <v>19</v>
      </c>
      <c r="L42" s="95">
        <f>E42</f>
        <v>14.7</v>
      </c>
      <c r="M42" s="96" t="s">
        <v>3</v>
      </c>
      <c r="N42" s="137"/>
      <c r="O42" s="137"/>
      <c r="P42" s="137"/>
      <c r="Q42" s="113" t="s">
        <v>19</v>
      </c>
      <c r="R42" s="121">
        <v>13</v>
      </c>
      <c r="S42" s="96" t="s">
        <v>3</v>
      </c>
      <c r="T42" s="137"/>
      <c r="U42" s="137"/>
      <c r="V42" s="137"/>
      <c r="W42" s="116" t="s">
        <v>84</v>
      </c>
      <c r="X42" s="925" t="s">
        <v>85</v>
      </c>
      <c r="Y42" s="926"/>
      <c r="Z42" s="137"/>
      <c r="AA42" s="138"/>
      <c r="AC42" s="394"/>
      <c r="AD42" s="964"/>
      <c r="AE42" s="964"/>
      <c r="AF42" s="964"/>
      <c r="AG42" s="964"/>
      <c r="AH42" s="378"/>
      <c r="AI42" s="378"/>
      <c r="AJ42" s="378"/>
      <c r="AK42" s="395"/>
    </row>
    <row r="43" spans="2:37" x14ac:dyDescent="0.25">
      <c r="B43" s="136"/>
      <c r="C43" s="137"/>
      <c r="D43" s="114" t="s">
        <v>78</v>
      </c>
      <c r="E43" s="102" cm="1">
        <f t="array" ref="E43">TEMP_REFRIGERANT((1/1000)*'FLOWSHEET ZONE 200'!AZ90/'FLOWSHEET ZONE 200'!AZ92,'FLOWSHEE ZONE 300'!R43+273.15,1)-273.15</f>
        <v>46.548394663256261</v>
      </c>
      <c r="F43" s="97" t="s">
        <v>6</v>
      </c>
      <c r="G43" s="336"/>
      <c r="H43" s="336"/>
      <c r="I43" s="336"/>
      <c r="J43" s="336"/>
      <c r="K43" s="114" t="s">
        <v>78</v>
      </c>
      <c r="L43" s="102">
        <f>E43</f>
        <v>46.548394663256261</v>
      </c>
      <c r="M43" s="97" t="s">
        <v>6</v>
      </c>
      <c r="N43" s="137"/>
      <c r="O43" s="137"/>
      <c r="P43" s="137"/>
      <c r="Q43" s="114" t="s">
        <v>78</v>
      </c>
      <c r="R43" s="102">
        <f>O30</f>
        <v>50</v>
      </c>
      <c r="S43" s="97" t="s">
        <v>6</v>
      </c>
      <c r="T43" s="137"/>
      <c r="U43" s="137"/>
      <c r="V43" s="137"/>
      <c r="W43" s="137"/>
      <c r="X43" s="137"/>
      <c r="Y43" s="137"/>
      <c r="Z43" s="137"/>
      <c r="AA43" s="138"/>
      <c r="AC43" s="394"/>
      <c r="AD43" s="728" t="s">
        <v>95</v>
      </c>
      <c r="AE43" s="728"/>
      <c r="AF43" s="728"/>
      <c r="AG43" s="728"/>
      <c r="AH43" s="309" t="s">
        <v>96</v>
      </c>
      <c r="AI43" s="313">
        <v>130</v>
      </c>
      <c r="AJ43" s="313">
        <v>130</v>
      </c>
      <c r="AK43" s="395"/>
    </row>
    <row r="44" spans="2:37" ht="15.75" thickBot="1" x14ac:dyDescent="0.3">
      <c r="B44" s="136"/>
      <c r="C44" s="137"/>
      <c r="D44" s="116" t="s">
        <v>84</v>
      </c>
      <c r="E44" s="925" t="s">
        <v>85</v>
      </c>
      <c r="F44" s="926"/>
      <c r="G44" s="377"/>
      <c r="H44" s="377"/>
      <c r="I44" s="377"/>
      <c r="J44" s="377"/>
      <c r="K44" s="116" t="s">
        <v>84</v>
      </c>
      <c r="L44" s="925" t="s">
        <v>85</v>
      </c>
      <c r="M44" s="926"/>
      <c r="N44" s="137"/>
      <c r="O44" s="137"/>
      <c r="P44" s="137"/>
      <c r="Q44" s="116" t="s">
        <v>84</v>
      </c>
      <c r="R44" s="925" t="s">
        <v>85</v>
      </c>
      <c r="S44" s="926"/>
      <c r="T44" s="137"/>
      <c r="U44" s="137"/>
      <c r="V44" s="137"/>
      <c r="W44" s="137"/>
      <c r="X44" s="137"/>
      <c r="Y44" s="137"/>
      <c r="Z44" s="137"/>
      <c r="AA44" s="138"/>
      <c r="AC44" s="394"/>
      <c r="AD44" s="728" t="s">
        <v>99</v>
      </c>
      <c r="AE44" s="728"/>
      <c r="AF44" s="728"/>
      <c r="AG44" s="728"/>
      <c r="AH44" s="309" t="s">
        <v>96</v>
      </c>
      <c r="AI44" s="313">
        <f>170/2</f>
        <v>85</v>
      </c>
      <c r="AJ44" s="313">
        <f>170/2</f>
        <v>85</v>
      </c>
      <c r="AK44" s="395"/>
    </row>
    <row r="45" spans="2:37" ht="15.75" thickBot="1" x14ac:dyDescent="0.3">
      <c r="B45" s="136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8"/>
      <c r="AC45" s="394"/>
      <c r="AD45" s="728" t="s">
        <v>60</v>
      </c>
      <c r="AE45" s="728"/>
      <c r="AF45" s="728"/>
      <c r="AG45" s="728"/>
      <c r="AH45" s="309" t="s">
        <v>25</v>
      </c>
      <c r="AI45" s="468">
        <v>0.19</v>
      </c>
      <c r="AJ45" s="468">
        <v>0.19</v>
      </c>
      <c r="AK45" s="395"/>
    </row>
    <row r="46" spans="2:37" ht="15.75" thickBot="1" x14ac:dyDescent="0.3">
      <c r="B46" s="136"/>
      <c r="C46" s="795" t="s">
        <v>144</v>
      </c>
      <c r="D46" s="796"/>
      <c r="E46" s="796"/>
      <c r="F46" s="796"/>
      <c r="G46" s="796"/>
      <c r="H46" s="797"/>
      <c r="I46" s="378"/>
      <c r="J46" s="378"/>
      <c r="K46" s="378"/>
      <c r="L46" s="378"/>
      <c r="M46" s="378"/>
      <c r="N46" s="378"/>
      <c r="O46" s="795" t="s">
        <v>145</v>
      </c>
      <c r="P46" s="796"/>
      <c r="Q46" s="796"/>
      <c r="R46" s="796"/>
      <c r="S46" s="796"/>
      <c r="T46" s="796"/>
      <c r="U46" s="796"/>
      <c r="V46" s="796"/>
      <c r="W46" s="796"/>
      <c r="X46" s="796"/>
      <c r="Y46" s="796"/>
      <c r="Z46" s="797"/>
      <c r="AA46" s="138"/>
      <c r="AC46" s="394"/>
      <c r="AD46" s="728" t="s">
        <v>100</v>
      </c>
      <c r="AE46" s="728"/>
      <c r="AF46" s="728"/>
      <c r="AG46" s="728"/>
      <c r="AH46" s="309" t="s">
        <v>96</v>
      </c>
      <c r="AI46" s="313">
        <f>( SUM(AI43:AI44)*(1+AI45) )</f>
        <v>255.85</v>
      </c>
      <c r="AJ46" s="313">
        <f>( SUM(AJ43:AJ44)*(1+AJ45) )</f>
        <v>255.85</v>
      </c>
      <c r="AK46" s="395"/>
    </row>
    <row r="47" spans="2:37" ht="15.75" thickBot="1" x14ac:dyDescent="0.3">
      <c r="B47" s="136"/>
      <c r="C47" s="798" t="s">
        <v>146</v>
      </c>
      <c r="D47" s="798"/>
      <c r="E47" s="798"/>
      <c r="F47" s="798"/>
      <c r="G47" s="178">
        <f>ENERGY_FACTOR*(O32)+(V9+V34)+O9</f>
        <v>18.728097181426868</v>
      </c>
      <c r="H47" s="177" t="s">
        <v>116</v>
      </c>
      <c r="I47" s="337"/>
      <c r="J47" s="337"/>
      <c r="K47" s="337"/>
      <c r="L47" s="3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8"/>
      <c r="AC47" s="394"/>
      <c r="AD47" s="735" t="s">
        <v>101</v>
      </c>
      <c r="AE47" s="735"/>
      <c r="AF47" s="735"/>
      <c r="AG47" s="735"/>
      <c r="AH47" s="319" t="s">
        <v>96</v>
      </c>
      <c r="AI47" s="329">
        <f>AI46*COST_FACTOR</f>
        <v>281.435</v>
      </c>
      <c r="AJ47" s="329">
        <f>AJ46*COST_FACTOR</f>
        <v>281.435</v>
      </c>
      <c r="AK47" s="395"/>
    </row>
    <row r="48" spans="2:37" ht="15.75" thickBot="1" x14ac:dyDescent="0.3">
      <c r="B48" s="136"/>
      <c r="C48" s="798" t="s">
        <v>147</v>
      </c>
      <c r="D48" s="798"/>
      <c r="E48" s="798"/>
      <c r="F48" s="798"/>
      <c r="G48" s="179">
        <f>G47*(EXT_TIME/60)</f>
        <v>23.410121476783587</v>
      </c>
      <c r="H48" s="177" t="s">
        <v>242</v>
      </c>
      <c r="I48" s="337"/>
      <c r="J48" s="337"/>
      <c r="K48" s="337"/>
      <c r="L48" s="137"/>
      <c r="M48" s="137"/>
      <c r="N48" s="137"/>
      <c r="O48" s="137"/>
      <c r="P48" s="137"/>
      <c r="Q48" s="137"/>
      <c r="R48" s="383" t="s">
        <v>149</v>
      </c>
      <c r="S48" s="128">
        <v>1</v>
      </c>
      <c r="T48" s="128">
        <v>2</v>
      </c>
      <c r="U48" s="128">
        <v>3</v>
      </c>
      <c r="V48" s="128">
        <v>4</v>
      </c>
      <c r="W48" s="128">
        <v>5</v>
      </c>
      <c r="X48" s="128">
        <v>6</v>
      </c>
      <c r="Y48" s="128">
        <v>7</v>
      </c>
      <c r="Z48" s="126">
        <v>8</v>
      </c>
      <c r="AA48" s="138"/>
      <c r="AC48" s="396"/>
      <c r="AD48" s="963"/>
      <c r="AE48" s="963"/>
      <c r="AF48" s="963"/>
      <c r="AG48" s="963"/>
      <c r="AH48" s="397"/>
      <c r="AI48" s="397"/>
      <c r="AJ48" s="397"/>
      <c r="AK48" s="398"/>
    </row>
    <row r="49" spans="2:33" x14ac:dyDescent="0.25">
      <c r="B49" s="136"/>
      <c r="C49" s="891"/>
      <c r="D49" s="891"/>
      <c r="E49" s="891"/>
      <c r="F49" s="891"/>
      <c r="G49" s="204">
        <f>N_EXTRACTION_PER_OPERDAY*G48</f>
        <v>444.79230805888812</v>
      </c>
      <c r="H49" s="177" t="s">
        <v>244</v>
      </c>
      <c r="I49" s="336"/>
      <c r="J49" s="336"/>
      <c r="K49" s="336"/>
      <c r="L49" s="137"/>
      <c r="M49" s="137"/>
      <c r="N49" s="137"/>
      <c r="O49" s="894" t="s">
        <v>150</v>
      </c>
      <c r="P49" s="895"/>
      <c r="Q49" s="895"/>
      <c r="R49" s="379"/>
      <c r="S49" s="153" t="s">
        <v>254</v>
      </c>
      <c r="T49" s="153" t="str">
        <f>S50</f>
        <v>TK-301</v>
      </c>
      <c r="U49" s="153" t="str">
        <f>T50</f>
        <v>E-301</v>
      </c>
      <c r="V49" s="336" t="str">
        <f>U50</f>
        <v>P-301</v>
      </c>
      <c r="W49" s="153" t="s">
        <v>356</v>
      </c>
      <c r="X49" s="336" t="str">
        <f>W50</f>
        <v>TK-302</v>
      </c>
      <c r="Y49" s="153" t="str">
        <f>X50</f>
        <v>E-302</v>
      </c>
      <c r="Z49" s="154" t="str">
        <f>Y50</f>
        <v>P-302</v>
      </c>
      <c r="AA49" s="138"/>
      <c r="AD49" s="962"/>
      <c r="AE49" s="962"/>
      <c r="AF49" s="962"/>
      <c r="AG49" s="962"/>
    </row>
    <row r="50" spans="2:33" x14ac:dyDescent="0.25">
      <c r="B50" s="136"/>
      <c r="C50" s="177"/>
      <c r="D50" s="177"/>
      <c r="E50" s="177"/>
      <c r="F50" s="177"/>
      <c r="G50" s="205">
        <f>G49*OPER_YEAR</f>
        <v>151674.17704808086</v>
      </c>
      <c r="H50" s="177" t="s">
        <v>148</v>
      </c>
      <c r="I50" s="137"/>
      <c r="J50" s="137"/>
      <c r="K50" s="137"/>
      <c r="L50" s="137"/>
      <c r="M50" s="137"/>
      <c r="N50" s="137"/>
      <c r="O50" s="896" t="s">
        <v>151</v>
      </c>
      <c r="P50" s="897"/>
      <c r="Q50" s="897"/>
      <c r="R50" s="379"/>
      <c r="S50" s="153" t="s">
        <v>327</v>
      </c>
      <c r="T50" s="153" t="s">
        <v>334</v>
      </c>
      <c r="U50" s="153" t="s">
        <v>350</v>
      </c>
      <c r="V50" s="336" t="str">
        <f>S49</f>
        <v>E-203</v>
      </c>
      <c r="W50" s="153" t="s">
        <v>328</v>
      </c>
      <c r="X50" s="336" t="s">
        <v>357</v>
      </c>
      <c r="Y50" s="153" t="s">
        <v>351</v>
      </c>
      <c r="Z50" s="154" t="str">
        <f>W49</f>
        <v>V-202/203</v>
      </c>
      <c r="AA50" s="138"/>
      <c r="AD50" s="962"/>
      <c r="AE50" s="962"/>
      <c r="AF50" s="962"/>
      <c r="AG50" s="962"/>
    </row>
    <row r="51" spans="2:33" x14ac:dyDescent="0.25"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896" t="s">
        <v>257</v>
      </c>
      <c r="P51" s="897"/>
      <c r="Q51" s="897"/>
      <c r="R51" s="379" t="s">
        <v>6</v>
      </c>
      <c r="S51" s="158">
        <f>E18</f>
        <v>3.4999998813370325</v>
      </c>
      <c r="T51" s="384">
        <f>L18</f>
        <v>3.4999998813370325</v>
      </c>
      <c r="U51" s="158">
        <f>R18</f>
        <v>0</v>
      </c>
      <c r="V51" s="158">
        <f>X16</f>
        <v>0</v>
      </c>
      <c r="W51" s="158">
        <f>E43</f>
        <v>46.548394663256261</v>
      </c>
      <c r="X51" s="384">
        <f>L43</f>
        <v>46.548394663256261</v>
      </c>
      <c r="Y51" s="158">
        <f>R43</f>
        <v>50</v>
      </c>
      <c r="Z51" s="172">
        <f>X41</f>
        <v>50</v>
      </c>
      <c r="AA51" s="138"/>
      <c r="AD51" s="962"/>
      <c r="AE51" s="962"/>
      <c r="AF51" s="962"/>
      <c r="AG51" s="962"/>
    </row>
    <row r="52" spans="2:33" x14ac:dyDescent="0.25">
      <c r="B52" s="136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898" t="s">
        <v>154</v>
      </c>
      <c r="P52" s="899"/>
      <c r="Q52" s="899"/>
      <c r="R52" s="380" t="s">
        <v>3</v>
      </c>
      <c r="S52" s="155">
        <f>E17</f>
        <v>14.7</v>
      </c>
      <c r="T52" s="306">
        <f>L17</f>
        <v>14.7</v>
      </c>
      <c r="U52" s="373">
        <f>R17</f>
        <v>13</v>
      </c>
      <c r="V52" s="373">
        <f>X15</f>
        <v>23.7</v>
      </c>
      <c r="W52" s="373">
        <f>E42</f>
        <v>14.7</v>
      </c>
      <c r="X52" s="306">
        <f>L42</f>
        <v>14.7</v>
      </c>
      <c r="Y52" s="373">
        <f>R42</f>
        <v>13</v>
      </c>
      <c r="Z52" s="374">
        <f>X40</f>
        <v>23.7</v>
      </c>
      <c r="AA52" s="138"/>
    </row>
    <row r="53" spans="2:33" x14ac:dyDescent="0.25">
      <c r="B53" s="136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900" t="s">
        <v>155</v>
      </c>
      <c r="P53" s="901"/>
      <c r="Q53" s="901"/>
      <c r="R53" s="381"/>
      <c r="S53" s="151"/>
      <c r="T53" s="137"/>
      <c r="U53" s="151"/>
      <c r="V53" s="151"/>
      <c r="W53" s="151"/>
      <c r="X53" s="137"/>
      <c r="Y53" s="151"/>
      <c r="Z53" s="152"/>
      <c r="AA53" s="138"/>
    </row>
    <row r="54" spans="2:33" x14ac:dyDescent="0.25">
      <c r="B54" s="136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896" t="s">
        <v>157</v>
      </c>
      <c r="P54" s="897"/>
      <c r="Q54" s="897"/>
      <c r="R54" s="379" t="s">
        <v>73</v>
      </c>
      <c r="S54" s="158">
        <f>0.473420132833228*E16</f>
        <v>1520.2731630291519</v>
      </c>
      <c r="T54" s="254">
        <f t="shared" ref="T54:Y55" si="0">S54</f>
        <v>1520.2731630291519</v>
      </c>
      <c r="U54" s="158">
        <f t="shared" si="0"/>
        <v>1520.2731630291519</v>
      </c>
      <c r="V54" s="158">
        <f t="shared" si="0"/>
        <v>1520.2731630291519</v>
      </c>
      <c r="W54" s="158">
        <f t="shared" si="0"/>
        <v>1520.2731630291519</v>
      </c>
      <c r="X54" s="384">
        <f t="shared" si="0"/>
        <v>1520.2731630291519</v>
      </c>
      <c r="Y54" s="158">
        <f t="shared" si="0"/>
        <v>1520.2731630291519</v>
      </c>
      <c r="Z54" s="172">
        <f t="shared" ref="Z54" si="1">Y54</f>
        <v>1520.2731630291519</v>
      </c>
      <c r="AA54" s="138"/>
    </row>
    <row r="55" spans="2:33" x14ac:dyDescent="0.25">
      <c r="B55" s="136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896" t="s">
        <v>358</v>
      </c>
      <c r="P55" s="897"/>
      <c r="Q55" s="897"/>
      <c r="R55" s="379" t="s">
        <v>73</v>
      </c>
      <c r="S55" s="158">
        <f>0.526579867166772*E16</f>
        <v>1690.982669989465</v>
      </c>
      <c r="T55" s="254">
        <f t="shared" si="0"/>
        <v>1690.982669989465</v>
      </c>
      <c r="U55" s="158">
        <f t="shared" si="0"/>
        <v>1690.982669989465</v>
      </c>
      <c r="V55" s="158">
        <f t="shared" si="0"/>
        <v>1690.982669989465</v>
      </c>
      <c r="W55" s="158">
        <f t="shared" si="0"/>
        <v>1690.982669989465</v>
      </c>
      <c r="X55" s="384">
        <f t="shared" si="0"/>
        <v>1690.982669989465</v>
      </c>
      <c r="Y55" s="158">
        <f t="shared" si="0"/>
        <v>1690.982669989465</v>
      </c>
      <c r="Z55" s="172">
        <f t="shared" ref="Z55" si="2">Y55</f>
        <v>1690.982669989465</v>
      </c>
      <c r="AA55" s="138"/>
    </row>
    <row r="56" spans="2:33" ht="15.75" thickBot="1" x14ac:dyDescent="0.3">
      <c r="B56" s="136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892" t="s">
        <v>159</v>
      </c>
      <c r="P56" s="893"/>
      <c r="Q56" s="893"/>
      <c r="R56" s="382" t="s">
        <v>73</v>
      </c>
      <c r="S56" s="371">
        <f t="shared" ref="S56:Z56" si="3">SUM(S54:S55)</f>
        <v>3211.2558330186166</v>
      </c>
      <c r="T56" s="371">
        <f t="shared" si="3"/>
        <v>3211.2558330186166</v>
      </c>
      <c r="U56" s="371">
        <f t="shared" si="3"/>
        <v>3211.2558330186166</v>
      </c>
      <c r="V56" s="371">
        <f t="shared" si="3"/>
        <v>3211.2558330186166</v>
      </c>
      <c r="W56" s="371">
        <f t="shared" si="3"/>
        <v>3211.2558330186166</v>
      </c>
      <c r="X56" s="371">
        <f t="shared" si="3"/>
        <v>3211.2558330186166</v>
      </c>
      <c r="Y56" s="371">
        <f t="shared" si="3"/>
        <v>3211.2558330186166</v>
      </c>
      <c r="Z56" s="372">
        <f t="shared" si="3"/>
        <v>3211.2558330186166</v>
      </c>
      <c r="AA56" s="138"/>
    </row>
    <row r="57" spans="2:33" x14ac:dyDescent="0.25">
      <c r="B57" s="136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369"/>
      <c r="R57" s="369"/>
      <c r="S57" s="369"/>
      <c r="T57" s="336"/>
      <c r="U57" s="160"/>
      <c r="V57" s="160"/>
      <c r="W57" s="160"/>
      <c r="X57" s="160"/>
      <c r="Y57" s="160"/>
      <c r="Z57" s="160"/>
      <c r="AA57" s="138"/>
    </row>
    <row r="58" spans="2:33" ht="15.75" thickBot="1" x14ac:dyDescent="0.3">
      <c r="B58" s="140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2"/>
    </row>
    <row r="62" spans="2:33" x14ac:dyDescent="0.25">
      <c r="Q62" s="695"/>
      <c r="R62" s="695"/>
      <c r="S62" s="695"/>
      <c r="T62" s="695"/>
      <c r="U62" s="695"/>
      <c r="V62" s="695"/>
      <c r="W62" s="695"/>
    </row>
    <row r="65" spans="3:23" x14ac:dyDescent="0.25">
      <c r="Q65" s="695"/>
      <c r="R65" s="695"/>
      <c r="S65" s="695"/>
      <c r="T65" s="695"/>
      <c r="U65" s="695"/>
      <c r="V65" s="695"/>
      <c r="W65" s="695"/>
    </row>
    <row r="66" spans="3:23" x14ac:dyDescent="0.25">
      <c r="Q66" s="695"/>
      <c r="R66" s="695"/>
      <c r="S66" s="695"/>
      <c r="T66" s="695"/>
      <c r="U66" s="695"/>
      <c r="V66" s="695"/>
      <c r="W66" s="695"/>
    </row>
    <row r="67" spans="3:23" x14ac:dyDescent="0.25">
      <c r="Q67" s="695"/>
      <c r="R67" s="695"/>
      <c r="S67" s="695"/>
      <c r="T67" s="695"/>
      <c r="U67" s="695"/>
      <c r="V67" s="695"/>
      <c r="W67" s="695"/>
    </row>
    <row r="75" spans="3:23" x14ac:dyDescent="0.25">
      <c r="C75" s="488">
        <f>( 0.304*'ECONOMIC ANALYSIS'!F38 + 2.73*'ECONOMIC ANALYSIS'!F46 + 1.23*('ECONOMIC ANALYSIS'!F45+'ECONOMIC ANALYSIS'!F50) )/( PRODUCT*N_EXTRACTION_PER_OPERDAY*OPER_YEAR )</f>
        <v>137.3401205385656</v>
      </c>
      <c r="D75" s="437" t="s">
        <v>50</v>
      </c>
    </row>
  </sheetData>
  <mergeCells count="99">
    <mergeCell ref="AD51:AG51"/>
    <mergeCell ref="AC2:AK2"/>
    <mergeCell ref="AD43:AG43"/>
    <mergeCell ref="AD44:AG44"/>
    <mergeCell ref="AD45:AG45"/>
    <mergeCell ref="AD46:AG46"/>
    <mergeCell ref="AD47:AG47"/>
    <mergeCell ref="AD48:AG48"/>
    <mergeCell ref="AI30:AJ30"/>
    <mergeCell ref="AD36:AJ36"/>
    <mergeCell ref="AD39:AG39"/>
    <mergeCell ref="AD40:AG40"/>
    <mergeCell ref="AD41:AG41"/>
    <mergeCell ref="AD42:AG42"/>
    <mergeCell ref="AD23:AG23"/>
    <mergeCell ref="AD24:AG24"/>
    <mergeCell ref="AD49:AG49"/>
    <mergeCell ref="AD50:AG50"/>
    <mergeCell ref="AI33:AJ33"/>
    <mergeCell ref="AI32:AJ32"/>
    <mergeCell ref="AI31:AJ31"/>
    <mergeCell ref="AI21:AJ21"/>
    <mergeCell ref="AD30:AG30"/>
    <mergeCell ref="AD31:AG31"/>
    <mergeCell ref="AD32:AG32"/>
    <mergeCell ref="AD33:AG33"/>
    <mergeCell ref="AI27:AJ27"/>
    <mergeCell ref="AI26:AJ26"/>
    <mergeCell ref="AI25:AJ25"/>
    <mergeCell ref="AI24:AJ24"/>
    <mergeCell ref="AI23:AJ23"/>
    <mergeCell ref="AI22:AJ22"/>
    <mergeCell ref="AD21:AG21"/>
    <mergeCell ref="AD22:AG22"/>
    <mergeCell ref="AD25:AG25"/>
    <mergeCell ref="C46:H46"/>
    <mergeCell ref="O46:Z46"/>
    <mergeCell ref="AD4:AJ4"/>
    <mergeCell ref="AD17:AJ17"/>
    <mergeCell ref="AI19:AJ19"/>
    <mergeCell ref="AD20:AG20"/>
    <mergeCell ref="AH20:AJ20"/>
    <mergeCell ref="AH28:AJ28"/>
    <mergeCell ref="AD26:AG26"/>
    <mergeCell ref="AD27:AG27"/>
    <mergeCell ref="AD28:AG28"/>
    <mergeCell ref="M8:N8"/>
    <mergeCell ref="M9:N9"/>
    <mergeCell ref="AD19:AG19"/>
    <mergeCell ref="AD34:AG34"/>
    <mergeCell ref="AI34:AJ34"/>
    <mergeCell ref="AD13:AG13"/>
    <mergeCell ref="AD14:AG14"/>
    <mergeCell ref="AD15:AG15"/>
    <mergeCell ref="AD16:AG16"/>
    <mergeCell ref="AD18:AG18"/>
    <mergeCell ref="C47:F47"/>
    <mergeCell ref="C48:F48"/>
    <mergeCell ref="C49:F49"/>
    <mergeCell ref="AD7:AG7"/>
    <mergeCell ref="AD8:AG8"/>
    <mergeCell ref="AD9:AG9"/>
    <mergeCell ref="AD10:AG10"/>
    <mergeCell ref="AD11:AG11"/>
    <mergeCell ref="AD12:AG12"/>
    <mergeCell ref="S33:U33"/>
    <mergeCell ref="S34:U34"/>
    <mergeCell ref="M30:N30"/>
    <mergeCell ref="M29:P29"/>
    <mergeCell ref="S29:W29"/>
    <mergeCell ref="S30:U30"/>
    <mergeCell ref="E44:F44"/>
    <mergeCell ref="O56:Q56"/>
    <mergeCell ref="O49:Q49"/>
    <mergeCell ref="O50:Q50"/>
    <mergeCell ref="O51:Q51"/>
    <mergeCell ref="O52:Q52"/>
    <mergeCell ref="O53:Q53"/>
    <mergeCell ref="O54:Q54"/>
    <mergeCell ref="O55:Q55"/>
    <mergeCell ref="R44:S44"/>
    <mergeCell ref="X42:Y42"/>
    <mergeCell ref="M31:N31"/>
    <mergeCell ref="M32:N32"/>
    <mergeCell ref="S32:U32"/>
    <mergeCell ref="L44:M44"/>
    <mergeCell ref="M7:N7"/>
    <mergeCell ref="E19:F19"/>
    <mergeCell ref="R19:S19"/>
    <mergeCell ref="X17:Y17"/>
    <mergeCell ref="M4:P4"/>
    <mergeCell ref="M5:N5"/>
    <mergeCell ref="M6:N6"/>
    <mergeCell ref="S4:W4"/>
    <mergeCell ref="S5:U5"/>
    <mergeCell ref="S7:U7"/>
    <mergeCell ref="S8:U8"/>
    <mergeCell ref="S9:U9"/>
    <mergeCell ref="L19:M19"/>
  </mergeCells>
  <phoneticPr fontId="26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19A20-0CD7-4E76-90DA-09AA0F51B9D7}">
  <sheetPr codeName="Hoja8"/>
  <dimension ref="B1:AB63"/>
  <sheetViews>
    <sheetView showGridLines="0" topLeftCell="E30" zoomScaleNormal="100" workbookViewId="0">
      <selection activeCell="N57" sqref="N57"/>
    </sheetView>
  </sheetViews>
  <sheetFormatPr baseColWidth="10" defaultColWidth="11.42578125" defaultRowHeight="15" x14ac:dyDescent="0.25"/>
  <cols>
    <col min="1" max="1" width="3.140625" style="562" customWidth="1"/>
    <col min="2" max="2" width="4.28515625" style="562" customWidth="1"/>
    <col min="3" max="3" width="3.28515625" style="562" customWidth="1"/>
    <col min="4" max="4" width="12.7109375" style="562" customWidth="1"/>
    <col min="5" max="5" width="153.28515625" style="562" customWidth="1"/>
    <col min="6" max="6" width="14.42578125" style="562" customWidth="1"/>
    <col min="7" max="7" width="4.28515625" style="562" customWidth="1"/>
    <col min="8" max="9" width="4.85546875" style="562" customWidth="1"/>
    <col min="10" max="10" width="37.140625" style="562" bestFit="1" customWidth="1"/>
    <col min="11" max="11" width="18.28515625" style="562" bestFit="1" customWidth="1"/>
    <col min="12" max="12" width="19" style="562" customWidth="1"/>
    <col min="13" max="13" width="14.7109375" style="562" bestFit="1" customWidth="1"/>
    <col min="14" max="14" width="24.140625" style="562" bestFit="1" customWidth="1"/>
    <col min="15" max="15" width="4.85546875" style="562" customWidth="1"/>
    <col min="16" max="16" width="33.5703125" style="562" bestFit="1" customWidth="1"/>
    <col min="17" max="17" width="15.28515625" style="562" customWidth="1"/>
    <col min="18" max="22" width="17.42578125" style="562" bestFit="1" customWidth="1"/>
    <col min="23" max="24" width="17.140625" style="562" bestFit="1" customWidth="1"/>
    <col min="25" max="26" width="16.28515625" style="562" bestFit="1" customWidth="1"/>
    <col min="27" max="27" width="17.28515625" style="562" bestFit="1" customWidth="1"/>
    <col min="28" max="28" width="5.85546875" style="562" customWidth="1"/>
    <col min="29" max="16384" width="11.42578125" style="562"/>
  </cols>
  <sheetData>
    <row r="1" spans="2:28" ht="15.75" thickBot="1" x14ac:dyDescent="0.3"/>
    <row r="2" spans="2:28" ht="15.75" thickBot="1" x14ac:dyDescent="0.3">
      <c r="B2" s="530"/>
      <c r="C2" s="531"/>
      <c r="D2" s="531"/>
      <c r="E2" s="531"/>
      <c r="F2" s="531"/>
      <c r="G2" s="532"/>
      <c r="I2" s="530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2"/>
    </row>
    <row r="3" spans="2:28" ht="15.75" thickBot="1" x14ac:dyDescent="0.3">
      <c r="B3" s="533"/>
      <c r="C3" s="968" t="s">
        <v>359</v>
      </c>
      <c r="D3" s="969"/>
      <c r="E3" s="969"/>
      <c r="F3" s="970"/>
      <c r="G3" s="534"/>
      <c r="I3" s="533"/>
      <c r="J3" s="968" t="s">
        <v>360</v>
      </c>
      <c r="K3" s="969"/>
      <c r="L3" s="969"/>
      <c r="M3" s="969"/>
      <c r="N3" s="970"/>
      <c r="O3" s="437"/>
      <c r="P3" s="971"/>
      <c r="Q3" s="972"/>
      <c r="R3" s="972"/>
      <c r="S3" s="972"/>
      <c r="T3" s="972"/>
      <c r="U3" s="972"/>
      <c r="V3" s="972"/>
      <c r="W3" s="972"/>
      <c r="X3" s="972"/>
      <c r="Y3" s="972"/>
      <c r="Z3" s="972"/>
      <c r="AA3" s="973"/>
      <c r="AB3" s="534"/>
    </row>
    <row r="4" spans="2:28" ht="15.75" thickBot="1" x14ac:dyDescent="0.3">
      <c r="B4" s="533"/>
      <c r="C4" s="437"/>
      <c r="D4" s="437"/>
      <c r="E4" s="437"/>
      <c r="F4" s="437"/>
      <c r="G4" s="534"/>
      <c r="I4" s="533"/>
      <c r="J4" s="437"/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534"/>
    </row>
    <row r="5" spans="2:28" ht="15.75" thickBot="1" x14ac:dyDescent="0.25">
      <c r="B5" s="533"/>
      <c r="C5" s="437"/>
      <c r="D5" s="499" t="s">
        <v>361</v>
      </c>
      <c r="E5" s="500" t="s">
        <v>362</v>
      </c>
      <c r="F5" s="501" t="s">
        <v>363</v>
      </c>
      <c r="G5" s="534"/>
      <c r="I5" s="533"/>
      <c r="J5" s="437"/>
      <c r="K5" s="977" t="s">
        <v>364</v>
      </c>
      <c r="L5" s="978"/>
      <c r="M5" s="977" t="s">
        <v>365</v>
      </c>
      <c r="N5" s="978"/>
      <c r="O5" s="437"/>
      <c r="P5" s="673" t="s">
        <v>366</v>
      </c>
      <c r="Q5" s="674">
        <v>0</v>
      </c>
      <c r="R5" s="674">
        <v>1</v>
      </c>
      <c r="S5" s="674">
        <v>2</v>
      </c>
      <c r="T5" s="674">
        <v>3</v>
      </c>
      <c r="U5" s="674">
        <v>4</v>
      </c>
      <c r="V5" s="674">
        <v>5</v>
      </c>
      <c r="W5" s="674">
        <v>6</v>
      </c>
      <c r="X5" s="674">
        <v>7</v>
      </c>
      <c r="Y5" s="674">
        <v>8</v>
      </c>
      <c r="Z5" s="674">
        <v>9</v>
      </c>
      <c r="AA5" s="675">
        <v>10</v>
      </c>
      <c r="AB5" s="534"/>
    </row>
    <row r="6" spans="2:28" ht="15.75" thickBot="1" x14ac:dyDescent="0.3">
      <c r="B6" s="533"/>
      <c r="C6" s="985" t="s">
        <v>367</v>
      </c>
      <c r="D6" s="494" t="s">
        <v>79</v>
      </c>
      <c r="E6" s="495" t="s">
        <v>368</v>
      </c>
      <c r="F6" s="496">
        <f>'FLOWSHEET ZONE 100'!BB17</f>
        <v>3180.87</v>
      </c>
      <c r="G6" s="534"/>
      <c r="I6" s="533"/>
      <c r="J6" s="974" t="s">
        <v>369</v>
      </c>
      <c r="K6" s="975"/>
      <c r="L6" s="975"/>
      <c r="M6" s="975"/>
      <c r="N6" s="976"/>
      <c r="O6" s="437"/>
      <c r="P6" s="533"/>
      <c r="Q6" s="600"/>
      <c r="R6" s="600"/>
      <c r="S6" s="600"/>
      <c r="T6" s="600"/>
      <c r="U6" s="600"/>
      <c r="V6" s="600"/>
      <c r="W6" s="600"/>
      <c r="X6" s="600"/>
      <c r="Y6" s="600"/>
      <c r="Z6" s="600"/>
      <c r="AA6" s="676"/>
      <c r="AB6" s="534"/>
    </row>
    <row r="7" spans="2:28" x14ac:dyDescent="0.25">
      <c r="B7" s="533"/>
      <c r="C7" s="986"/>
      <c r="D7" s="502" t="s">
        <v>80</v>
      </c>
      <c r="E7" s="503" t="s">
        <v>370</v>
      </c>
      <c r="F7" s="504">
        <f>'FLOWSHEET ZONE 100'!BC17</f>
        <v>25.143953488372098</v>
      </c>
      <c r="G7" s="534"/>
      <c r="I7" s="533"/>
      <c r="J7" s="603" t="s">
        <v>371</v>
      </c>
      <c r="K7" s="604">
        <f>RM_COST</f>
        <v>2.3144000000000001E-2</v>
      </c>
      <c r="L7" s="605" t="s">
        <v>50</v>
      </c>
      <c r="M7" s="639">
        <f>RAW_TOTAL/(N_EXTRACTION_PER_OPERDAY*PRODUCT)</f>
        <v>65.587210493952128</v>
      </c>
      <c r="N7" s="605" t="s">
        <v>372</v>
      </c>
      <c r="O7" s="437"/>
      <c r="P7" s="965" t="s">
        <v>373</v>
      </c>
      <c r="Q7" s="966"/>
      <c r="R7" s="966"/>
      <c r="S7" s="966"/>
      <c r="T7" s="966"/>
      <c r="U7" s="966"/>
      <c r="V7" s="966"/>
      <c r="W7" s="966"/>
      <c r="X7" s="966"/>
      <c r="Y7" s="966"/>
      <c r="Z7" s="966"/>
      <c r="AA7" s="967"/>
      <c r="AB7" s="534"/>
    </row>
    <row r="8" spans="2:28" x14ac:dyDescent="0.25">
      <c r="B8" s="533"/>
      <c r="C8" s="986"/>
      <c r="D8" s="489" t="s">
        <v>81</v>
      </c>
      <c r="E8" s="491" t="s">
        <v>374</v>
      </c>
      <c r="F8" s="497">
        <f>'FLOWSHEET ZONE 100'!BD17</f>
        <v>220.00000000000003</v>
      </c>
      <c r="G8" s="534"/>
      <c r="I8" s="533"/>
      <c r="J8" s="611" t="s">
        <v>375</v>
      </c>
      <c r="K8" s="612">
        <f>CO2_COST</f>
        <v>1.4740000000000002</v>
      </c>
      <c r="L8" s="613" t="s">
        <v>50</v>
      </c>
      <c r="M8" s="640">
        <f>'FLOWSHEET ZONE 200'!E4/PRODUCT</f>
        <v>2.5731707317072554</v>
      </c>
      <c r="N8" s="613" t="s">
        <v>372</v>
      </c>
      <c r="O8" s="437"/>
      <c r="P8" s="533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76"/>
      <c r="AB8" s="534"/>
    </row>
    <row r="9" spans="2:28" ht="15.75" thickBot="1" x14ac:dyDescent="0.3">
      <c r="B9" s="533"/>
      <c r="C9" s="986"/>
      <c r="D9" s="502" t="s">
        <v>82</v>
      </c>
      <c r="E9" s="503" t="s">
        <v>374</v>
      </c>
      <c r="F9" s="504">
        <f>'FLOWSHEET ZONE 100'!BE17</f>
        <v>220.00000000000003</v>
      </c>
      <c r="G9" s="534"/>
      <c r="I9" s="533"/>
      <c r="J9" s="607" t="s">
        <v>376</v>
      </c>
      <c r="K9" s="608">
        <f>N2_COST</f>
        <v>2.0100000000000002</v>
      </c>
      <c r="L9" s="609" t="s">
        <v>53</v>
      </c>
      <c r="M9" s="641">
        <f>(1000*'FLOWSHEET ZONE 100'!E4/810.72)/(N_EXTRACTION_PER_OPERDAY*PRODUCT)</f>
        <v>12.645690957973002</v>
      </c>
      <c r="N9" s="609" t="s">
        <v>377</v>
      </c>
      <c r="O9" s="437"/>
      <c r="P9" s="601" t="s">
        <v>378</v>
      </c>
      <c r="Q9" s="658">
        <v>0</v>
      </c>
      <c r="R9" s="659">
        <f>K37</f>
        <v>2657.0315621081563</v>
      </c>
      <c r="S9" s="659">
        <f>$K$25</f>
        <v>3795.7593744402238</v>
      </c>
      <c r="T9" s="659">
        <f t="shared" ref="T9:AA9" si="0">$K$25</f>
        <v>3795.7593744402238</v>
      </c>
      <c r="U9" s="659">
        <f t="shared" si="0"/>
        <v>3795.7593744402238</v>
      </c>
      <c r="V9" s="659">
        <f t="shared" si="0"/>
        <v>3795.7593744402238</v>
      </c>
      <c r="W9" s="659">
        <f t="shared" si="0"/>
        <v>3795.7593744402238</v>
      </c>
      <c r="X9" s="659">
        <f t="shared" si="0"/>
        <v>3795.7593744402238</v>
      </c>
      <c r="Y9" s="659">
        <f t="shared" si="0"/>
        <v>3795.7593744402238</v>
      </c>
      <c r="Z9" s="659">
        <f t="shared" si="0"/>
        <v>3795.7593744402238</v>
      </c>
      <c r="AA9" s="677">
        <f t="shared" si="0"/>
        <v>3795.7593744402238</v>
      </c>
      <c r="AB9" s="534"/>
    </row>
    <row r="10" spans="2:28" ht="15.75" thickBot="1" x14ac:dyDescent="0.3">
      <c r="B10" s="533"/>
      <c r="C10" s="986"/>
      <c r="D10" s="489" t="s">
        <v>83</v>
      </c>
      <c r="E10" s="491" t="s">
        <v>379</v>
      </c>
      <c r="F10" s="497">
        <f>'FLOWSHEET ZONE 100'!BF17</f>
        <v>1439.8607299999999</v>
      </c>
      <c r="G10" s="534"/>
      <c r="I10" s="533"/>
      <c r="J10" s="974" t="s">
        <v>380</v>
      </c>
      <c r="K10" s="975"/>
      <c r="L10" s="975"/>
      <c r="M10" s="975"/>
      <c r="N10" s="976"/>
      <c r="O10" s="437"/>
      <c r="P10" s="601" t="s">
        <v>381</v>
      </c>
      <c r="Q10" s="655">
        <v>0</v>
      </c>
      <c r="R10" s="657">
        <f>R9*$L$50*( (1+($K$55/100))^R5 )</f>
        <v>377607.21117770579</v>
      </c>
      <c r="S10" s="657">
        <f t="shared" ref="S10:AA10" si="1">S9*$L$50*( (1+($K$55/100))^S5 )</f>
        <v>567527.22837344091</v>
      </c>
      <c r="T10" s="657">
        <f t="shared" si="1"/>
        <v>597078.13248185953</v>
      </c>
      <c r="U10" s="657">
        <f t="shared" si="1"/>
        <v>628167.73973960173</v>
      </c>
      <c r="V10" s="657">
        <f t="shared" si="1"/>
        <v>660876.16977255244</v>
      </c>
      <c r="W10" s="657">
        <f t="shared" si="1"/>
        <v>695287.71400182263</v>
      </c>
      <c r="X10" s="657">
        <f t="shared" si="1"/>
        <v>731491.05286737159</v>
      </c>
      <c r="Y10" s="657">
        <f t="shared" si="1"/>
        <v>769579.48436237336</v>
      </c>
      <c r="Z10" s="657">
        <f t="shared" si="1"/>
        <v>809651.16446726944</v>
      </c>
      <c r="AA10" s="678">
        <f t="shared" si="1"/>
        <v>851809.36010312405</v>
      </c>
      <c r="AB10" s="534"/>
    </row>
    <row r="11" spans="2:28" x14ac:dyDescent="0.25">
      <c r="B11" s="533"/>
      <c r="C11" s="986"/>
      <c r="D11" s="502" t="s">
        <v>104</v>
      </c>
      <c r="E11" s="503" t="s">
        <v>382</v>
      </c>
      <c r="F11" s="504">
        <f>'FLOWSHEET ZONE 100'!BB31</f>
        <v>2513.2799999999997</v>
      </c>
      <c r="G11" s="534"/>
      <c r="I11" s="533"/>
      <c r="J11" s="603" t="s">
        <v>383</v>
      </c>
      <c r="K11" s="604">
        <f>EE_COST</f>
        <v>0.126</v>
      </c>
      <c r="L11" s="605" t="s">
        <v>34</v>
      </c>
      <c r="M11" s="606">
        <f>( (EE_ZONE100+EE_ZONE200+EE_ZONE300)*(1/OPER_YEAR)*(1/N_EXTRACTION_PER_OPERDAY) )/PRODUCT</f>
        <v>156.40267977726867</v>
      </c>
      <c r="N11" s="605" t="s">
        <v>384</v>
      </c>
      <c r="O11" s="437"/>
      <c r="P11" s="601" t="s">
        <v>385</v>
      </c>
      <c r="Q11" s="655">
        <v>0</v>
      </c>
      <c r="R11" s="657">
        <f>R9*$L$48*( (1+($L$49/100))^R5 )</f>
        <v>264325.04782439402</v>
      </c>
      <c r="S11" s="657">
        <f t="shared" ref="S11:AA11" si="2">S9*$L$48*( (1+($L$49/100))^S5 )</f>
        <v>397269.0598614086</v>
      </c>
      <c r="T11" s="657">
        <f t="shared" si="2"/>
        <v>417954.6927373017</v>
      </c>
      <c r="U11" s="657">
        <f t="shared" si="2"/>
        <v>439717.4178177212</v>
      </c>
      <c r="V11" s="657">
        <f t="shared" si="2"/>
        <v>462613.3188407867</v>
      </c>
      <c r="W11" s="657">
        <f t="shared" si="2"/>
        <v>486701.39980127581</v>
      </c>
      <c r="X11" s="657">
        <f t="shared" si="2"/>
        <v>512043.73700716015</v>
      </c>
      <c r="Y11" s="657">
        <f t="shared" si="2"/>
        <v>538705.63905366138</v>
      </c>
      <c r="Z11" s="657">
        <f t="shared" si="2"/>
        <v>566755.81512708857</v>
      </c>
      <c r="AA11" s="678">
        <f t="shared" si="2"/>
        <v>596266.55207218684</v>
      </c>
      <c r="AB11" s="534"/>
    </row>
    <row r="12" spans="2:28" ht="15.75" thickBot="1" x14ac:dyDescent="0.3">
      <c r="B12" s="533"/>
      <c r="C12" s="986"/>
      <c r="D12" s="489" t="s">
        <v>105</v>
      </c>
      <c r="E12" s="491" t="s">
        <v>386</v>
      </c>
      <c r="F12" s="497">
        <f>'FLOWSHEET ZONE 100'!BC31</f>
        <v>2879.8</v>
      </c>
      <c r="G12" s="534"/>
      <c r="I12" s="533"/>
      <c r="J12" s="614" t="s">
        <v>387</v>
      </c>
      <c r="K12" s="615">
        <v>0</v>
      </c>
      <c r="L12" s="616" t="s">
        <v>388</v>
      </c>
      <c r="M12" s="638">
        <v>0</v>
      </c>
      <c r="N12" s="616" t="s">
        <v>389</v>
      </c>
      <c r="O12" s="437"/>
      <c r="P12" s="533"/>
      <c r="Q12" s="655"/>
      <c r="R12" s="657"/>
      <c r="S12" s="657"/>
      <c r="T12" s="657"/>
      <c r="U12" s="657"/>
      <c r="V12" s="657"/>
      <c r="W12" s="657"/>
      <c r="X12" s="657"/>
      <c r="Y12" s="657"/>
      <c r="Z12" s="657"/>
      <c r="AA12" s="678"/>
      <c r="AB12" s="534"/>
    </row>
    <row r="13" spans="2:28" ht="15.75" thickBot="1" x14ac:dyDescent="0.3">
      <c r="B13" s="533"/>
      <c r="C13" s="986"/>
      <c r="D13" s="502" t="s">
        <v>129</v>
      </c>
      <c r="E13" s="503" t="s">
        <v>390</v>
      </c>
      <c r="F13" s="504">
        <f>'FLOWSHEET ZONE 100'!BB48</f>
        <v>107992.50000000001</v>
      </c>
      <c r="G13" s="534"/>
      <c r="I13" s="533"/>
      <c r="J13" s="620" t="s">
        <v>391</v>
      </c>
      <c r="K13" s="632">
        <f>F46</f>
        <v>118519.29302325581</v>
      </c>
      <c r="L13" s="619" t="s">
        <v>392</v>
      </c>
      <c r="M13" s="643">
        <f>1/(PRODUCT*N_EXTRACTION_PER_OPERDAY*OPER_YEAR)</f>
        <v>2.6345189495777086E-4</v>
      </c>
      <c r="N13" s="619" t="s">
        <v>393</v>
      </c>
      <c r="O13" s="437"/>
      <c r="P13" s="601" t="s">
        <v>394</v>
      </c>
      <c r="Q13" s="655">
        <f>Q10-Q11</f>
        <v>0</v>
      </c>
      <c r="R13" s="657">
        <f t="shared" ref="R13:AA13" si="3">R10-R11</f>
        <v>113282.16335331177</v>
      </c>
      <c r="S13" s="657">
        <f t="shared" si="3"/>
        <v>170258.16851203231</v>
      </c>
      <c r="T13" s="657">
        <f t="shared" si="3"/>
        <v>179123.43974455784</v>
      </c>
      <c r="U13" s="657">
        <f t="shared" si="3"/>
        <v>188450.32192188053</v>
      </c>
      <c r="V13" s="657">
        <f t="shared" si="3"/>
        <v>198262.85093176574</v>
      </c>
      <c r="W13" s="657">
        <f t="shared" si="3"/>
        <v>208586.31420054683</v>
      </c>
      <c r="X13" s="657">
        <f t="shared" si="3"/>
        <v>219447.31586021144</v>
      </c>
      <c r="Y13" s="657">
        <f t="shared" si="3"/>
        <v>230873.84530871199</v>
      </c>
      <c r="Z13" s="657">
        <f t="shared" si="3"/>
        <v>242895.34934018087</v>
      </c>
      <c r="AA13" s="678">
        <f t="shared" si="3"/>
        <v>255542.80803093722</v>
      </c>
      <c r="AB13" s="534"/>
    </row>
    <row r="14" spans="2:28" ht="15.75" thickBot="1" x14ac:dyDescent="0.3">
      <c r="B14" s="533"/>
      <c r="C14" s="987"/>
      <c r="D14" s="490" t="s">
        <v>130</v>
      </c>
      <c r="E14" s="492" t="s">
        <v>395</v>
      </c>
      <c r="F14" s="498">
        <f>'FLOWSHEET ZONE 100'!BD48</f>
        <v>2487.1000000000004</v>
      </c>
      <c r="G14" s="534"/>
      <c r="I14" s="533"/>
      <c r="J14" s="974" t="s">
        <v>396</v>
      </c>
      <c r="K14" s="975"/>
      <c r="L14" s="975"/>
      <c r="M14" s="975"/>
      <c r="N14" s="976"/>
      <c r="O14" s="437"/>
      <c r="P14" s="533"/>
      <c r="Q14" s="655"/>
      <c r="R14" s="657"/>
      <c r="S14" s="657"/>
      <c r="T14" s="657"/>
      <c r="U14" s="657"/>
      <c r="V14" s="657"/>
      <c r="W14" s="657"/>
      <c r="X14" s="657"/>
      <c r="Y14" s="657"/>
      <c r="Z14" s="657"/>
      <c r="AA14" s="678"/>
      <c r="AB14" s="534"/>
    </row>
    <row r="15" spans="2:28" x14ac:dyDescent="0.25">
      <c r="B15" s="533"/>
      <c r="C15" s="988" t="s">
        <v>397</v>
      </c>
      <c r="D15" s="505" t="s">
        <v>161</v>
      </c>
      <c r="E15" s="553" t="s">
        <v>398</v>
      </c>
      <c r="F15" s="507">
        <f>'FLOWSHEET ZONE 200'!AZ40</f>
        <v>8620.555312363731</v>
      </c>
      <c r="G15" s="534"/>
      <c r="I15" s="533"/>
      <c r="J15" s="603" t="s">
        <v>399</v>
      </c>
      <c r="K15" s="634">
        <f>0.06*F38</f>
        <v>19381.582550551284</v>
      </c>
      <c r="L15" s="605" t="s">
        <v>392</v>
      </c>
      <c r="M15" s="644">
        <f>1/(PRODUCT*N_EXTRACTION_PER_OPERDAY*OPER_YEAR)</f>
        <v>2.6345189495777086E-4</v>
      </c>
      <c r="N15" s="605" t="s">
        <v>393</v>
      </c>
      <c r="O15" s="437"/>
      <c r="P15" s="601" t="s">
        <v>400</v>
      </c>
      <c r="Q15" s="655">
        <v>0</v>
      </c>
      <c r="R15" s="657">
        <f>-R54</f>
        <v>-63847.332606517281</v>
      </c>
      <c r="S15" s="657">
        <f t="shared" ref="S15:AA15" si="4">-S54</f>
        <v>-63847.332606517281</v>
      </c>
      <c r="T15" s="657">
        <f t="shared" si="4"/>
        <v>-63847.332606517281</v>
      </c>
      <c r="U15" s="657">
        <f t="shared" si="4"/>
        <v>-63847.332606517281</v>
      </c>
      <c r="V15" s="657">
        <f t="shared" si="4"/>
        <v>-63847.332606517281</v>
      </c>
      <c r="W15" s="657">
        <f t="shared" si="4"/>
        <v>-63847.332606517281</v>
      </c>
      <c r="X15" s="657">
        <f t="shared" si="4"/>
        <v>-63847.332606517281</v>
      </c>
      <c r="Y15" s="657">
        <f t="shared" si="4"/>
        <v>-63847.332606517281</v>
      </c>
      <c r="Z15" s="657">
        <f t="shared" si="4"/>
        <v>-63847.332606517281</v>
      </c>
      <c r="AA15" s="678">
        <f t="shared" si="4"/>
        <v>-63847.332606517281</v>
      </c>
      <c r="AB15" s="534"/>
    </row>
    <row r="16" spans="2:28" ht="15.75" thickBot="1" x14ac:dyDescent="0.3">
      <c r="B16" s="533"/>
      <c r="C16" s="989"/>
      <c r="D16" s="489" t="s">
        <v>162</v>
      </c>
      <c r="E16" s="554" t="s">
        <v>401</v>
      </c>
      <c r="F16" s="497">
        <f>'FLOWSHEET ZONE 200'!BA40</f>
        <v>11040.555312363731</v>
      </c>
      <c r="G16" s="534"/>
      <c r="I16" s="533"/>
      <c r="J16" s="617" t="s">
        <v>402</v>
      </c>
      <c r="K16" s="635">
        <f>0.177*F46+0.009*F38</f>
        <v>23885.15224769897</v>
      </c>
      <c r="L16" s="618" t="s">
        <v>392</v>
      </c>
      <c r="M16" s="645">
        <f>1/(PRODUCT*N_EXTRACTION_PER_OPERDAY*OPER_YEAR)</f>
        <v>2.6345189495777086E-4</v>
      </c>
      <c r="N16" s="618" t="s">
        <v>393</v>
      </c>
      <c r="O16" s="437"/>
      <c r="P16" s="601" t="s">
        <v>403</v>
      </c>
      <c r="Q16" s="655">
        <v>0</v>
      </c>
      <c r="R16" s="657">
        <f>R52</f>
        <v>-56991.777469471628</v>
      </c>
      <c r="S16" s="657">
        <f t="shared" ref="S16:AA16" si="5">S52</f>
        <v>-55277.888685210215</v>
      </c>
      <c r="T16" s="657">
        <f t="shared" si="5"/>
        <v>-53135.527704883447</v>
      </c>
      <c r="U16" s="657">
        <f t="shared" si="5"/>
        <v>-50457.576479474985</v>
      </c>
      <c r="V16" s="657">
        <f t="shared" si="5"/>
        <v>-47110.137447714413</v>
      </c>
      <c r="W16" s="657">
        <f t="shared" si="5"/>
        <v>-42925.838658013694</v>
      </c>
      <c r="X16" s="657">
        <f t="shared" si="5"/>
        <v>-37695.465170887794</v>
      </c>
      <c r="Y16" s="657">
        <f t="shared" si="5"/>
        <v>-31157.498311980424</v>
      </c>
      <c r="Z16" s="657">
        <f t="shared" si="5"/>
        <v>-22985.039738346211</v>
      </c>
      <c r="AA16" s="678">
        <f t="shared" si="5"/>
        <v>-12769.466521303444</v>
      </c>
      <c r="AB16" s="534"/>
    </row>
    <row r="17" spans="2:28" ht="15.75" thickBot="1" x14ac:dyDescent="0.3">
      <c r="B17" s="533"/>
      <c r="C17" s="989"/>
      <c r="D17" s="502" t="s">
        <v>163</v>
      </c>
      <c r="E17" s="555" t="s">
        <v>404</v>
      </c>
      <c r="F17" s="504">
        <f>'FLOWSHEET ZONE 200'!BB40</f>
        <v>11040.555312363731</v>
      </c>
      <c r="G17" s="534"/>
      <c r="I17" s="533"/>
      <c r="J17" s="437"/>
      <c r="K17" s="153"/>
      <c r="L17" s="487"/>
      <c r="M17" s="437"/>
      <c r="N17" s="437"/>
      <c r="O17" s="153"/>
      <c r="P17" s="533"/>
      <c r="Q17" s="655"/>
      <c r="R17" s="657"/>
      <c r="S17" s="657"/>
      <c r="T17" s="657"/>
      <c r="U17" s="657"/>
      <c r="V17" s="657"/>
      <c r="W17" s="657"/>
      <c r="X17" s="657"/>
      <c r="Y17" s="657"/>
      <c r="Z17" s="657"/>
      <c r="AA17" s="678"/>
      <c r="AB17" s="534"/>
    </row>
    <row r="18" spans="2:28" ht="15.75" thickBot="1" x14ac:dyDescent="0.3">
      <c r="B18" s="533"/>
      <c r="C18" s="989"/>
      <c r="D18" s="489" t="s">
        <v>213</v>
      </c>
      <c r="E18" s="554" t="s">
        <v>405</v>
      </c>
      <c r="F18" s="497">
        <f>'FLOWSHEET ZONE 200'!AZ77</f>
        <v>3423.5184374545775</v>
      </c>
      <c r="G18" s="534"/>
      <c r="I18" s="533"/>
      <c r="J18" s="968" t="s">
        <v>406</v>
      </c>
      <c r="K18" s="969"/>
      <c r="L18" s="969"/>
      <c r="M18" s="969"/>
      <c r="N18" s="970"/>
      <c r="O18" s="153"/>
      <c r="P18" s="601" t="s">
        <v>407</v>
      </c>
      <c r="Q18" s="655">
        <v>0</v>
      </c>
      <c r="R18" s="657">
        <f>R13+R15+R16</f>
        <v>-7556.9467226771376</v>
      </c>
      <c r="S18" s="657">
        <f t="shared" ref="S18:AA18" si="6">S13+S15+S16</f>
        <v>51132.947220304821</v>
      </c>
      <c r="T18" s="657">
        <f t="shared" si="6"/>
        <v>62140.579433157116</v>
      </c>
      <c r="U18" s="657">
        <f t="shared" si="6"/>
        <v>74145.412835888274</v>
      </c>
      <c r="V18" s="657">
        <f t="shared" si="6"/>
        <v>87305.380877534059</v>
      </c>
      <c r="W18" s="657">
        <f t="shared" si="6"/>
        <v>101813.14293601585</v>
      </c>
      <c r="X18" s="657">
        <f t="shared" si="6"/>
        <v>117904.51808280637</v>
      </c>
      <c r="Y18" s="657">
        <f t="shared" si="6"/>
        <v>135869.01439021429</v>
      </c>
      <c r="Z18" s="657">
        <f t="shared" si="6"/>
        <v>156062.97699531738</v>
      </c>
      <c r="AA18" s="678">
        <f t="shared" si="6"/>
        <v>178926.00890311651</v>
      </c>
      <c r="AB18" s="534"/>
    </row>
    <row r="19" spans="2:28" ht="15.75" thickBot="1" x14ac:dyDescent="0.3">
      <c r="B19" s="533"/>
      <c r="C19" s="989"/>
      <c r="D19" s="502" t="s">
        <v>214</v>
      </c>
      <c r="E19" s="555" t="s">
        <v>405</v>
      </c>
      <c r="F19" s="504">
        <f>'FLOWSHEET ZONE 200'!BA77</f>
        <v>3423.5184374545775</v>
      </c>
      <c r="G19" s="534"/>
      <c r="I19" s="533"/>
      <c r="J19" s="437"/>
      <c r="K19" s="437"/>
      <c r="L19" s="437"/>
      <c r="M19" s="437"/>
      <c r="N19" s="437"/>
      <c r="O19" s="437"/>
      <c r="P19" s="601" t="s">
        <v>408</v>
      </c>
      <c r="Q19" s="655">
        <v>0</v>
      </c>
      <c r="R19" s="657">
        <f>-R18*$K$34</f>
        <v>2644.9313529369979</v>
      </c>
      <c r="S19" s="657">
        <f t="shared" ref="S19:AA19" si="7">-S18*$K$34</f>
        <v>-17896.531527106687</v>
      </c>
      <c r="T19" s="657">
        <f t="shared" si="7"/>
        <v>-21749.202801604988</v>
      </c>
      <c r="U19" s="657">
        <f t="shared" si="7"/>
        <v>-25950.894492560896</v>
      </c>
      <c r="V19" s="657">
        <f t="shared" si="7"/>
        <v>-30556.883307136919</v>
      </c>
      <c r="W19" s="657">
        <f t="shared" si="7"/>
        <v>-35634.600027605542</v>
      </c>
      <c r="X19" s="657">
        <f t="shared" si="7"/>
        <v>-41266.581328982225</v>
      </c>
      <c r="Y19" s="657">
        <f t="shared" si="7"/>
        <v>-47554.155036575001</v>
      </c>
      <c r="Z19" s="657">
        <f t="shared" si="7"/>
        <v>-54622.041948361082</v>
      </c>
      <c r="AA19" s="678">
        <f t="shared" si="7"/>
        <v>-62624.103116090773</v>
      </c>
      <c r="AB19" s="534"/>
    </row>
    <row r="20" spans="2:28" ht="15.75" thickBot="1" x14ac:dyDescent="0.3">
      <c r="B20" s="533"/>
      <c r="C20" s="989"/>
      <c r="D20" s="493" t="s">
        <v>254</v>
      </c>
      <c r="E20" s="556" t="s">
        <v>409</v>
      </c>
      <c r="F20" s="552">
        <f>'FLOWSHEET ZONE 200'!BB142</f>
        <v>10590.646000000001</v>
      </c>
      <c r="G20" s="534"/>
      <c r="I20" s="533"/>
      <c r="J20" s="623" t="s">
        <v>410</v>
      </c>
      <c r="K20" s="636">
        <f>INTEREST_RATE*100</f>
        <v>25</v>
      </c>
      <c r="L20" s="622" t="s">
        <v>411</v>
      </c>
      <c r="M20" s="437"/>
      <c r="N20" s="437"/>
      <c r="O20" s="437"/>
      <c r="P20" s="601" t="s">
        <v>412</v>
      </c>
      <c r="Q20" s="655">
        <v>0</v>
      </c>
      <c r="R20" s="657">
        <f>R18+R19</f>
        <v>-4912.0153697401402</v>
      </c>
      <c r="S20" s="657">
        <f t="shared" ref="S20:AA20" si="8">S18+S19</f>
        <v>33236.415693198134</v>
      </c>
      <c r="T20" s="657">
        <f t="shared" si="8"/>
        <v>40391.376631552128</v>
      </c>
      <c r="U20" s="657">
        <f t="shared" si="8"/>
        <v>48194.518343327378</v>
      </c>
      <c r="V20" s="657">
        <f t="shared" si="8"/>
        <v>56748.497570397143</v>
      </c>
      <c r="W20" s="657">
        <f t="shared" si="8"/>
        <v>66178.542908410309</v>
      </c>
      <c r="X20" s="657">
        <f t="shared" si="8"/>
        <v>76637.936753824149</v>
      </c>
      <c r="Y20" s="657">
        <f t="shared" si="8"/>
        <v>88314.859353639287</v>
      </c>
      <c r="Z20" s="657">
        <f t="shared" si="8"/>
        <v>101440.93504695629</v>
      </c>
      <c r="AA20" s="678">
        <f t="shared" si="8"/>
        <v>116301.90578702574</v>
      </c>
      <c r="AB20" s="534"/>
    </row>
    <row r="21" spans="2:28" x14ac:dyDescent="0.25">
      <c r="B21" s="533"/>
      <c r="C21" s="990"/>
      <c r="D21" s="505" t="s">
        <v>250</v>
      </c>
      <c r="E21" s="506" t="s">
        <v>413</v>
      </c>
      <c r="F21" s="507">
        <f>'FLOWSHEET ZONE 200'!BA155</f>
        <v>15000</v>
      </c>
      <c r="G21" s="534"/>
      <c r="I21" s="533"/>
      <c r="J21" s="624" t="s">
        <v>414</v>
      </c>
      <c r="K21" s="628">
        <v>10</v>
      </c>
      <c r="L21" s="602" t="s">
        <v>415</v>
      </c>
      <c r="M21" s="437"/>
      <c r="N21" s="488"/>
      <c r="O21" s="437"/>
      <c r="P21" s="533"/>
      <c r="Q21" s="600"/>
      <c r="R21" s="657"/>
      <c r="S21" s="657"/>
      <c r="T21" s="657"/>
      <c r="U21" s="657"/>
      <c r="V21" s="657"/>
      <c r="W21" s="657"/>
      <c r="X21" s="657"/>
      <c r="Y21" s="657"/>
      <c r="Z21" s="657"/>
      <c r="AA21" s="678"/>
      <c r="AB21" s="534"/>
    </row>
    <row r="22" spans="2:28" ht="15.75" thickBot="1" x14ac:dyDescent="0.3">
      <c r="B22" s="533"/>
      <c r="C22" s="991"/>
      <c r="D22" s="557" t="s">
        <v>416</v>
      </c>
      <c r="E22" s="550" t="s">
        <v>417</v>
      </c>
      <c r="F22" s="551">
        <f>11000000/4300</f>
        <v>2558.1395348837209</v>
      </c>
      <c r="G22" s="534"/>
      <c r="I22" s="533"/>
      <c r="J22" s="624" t="s">
        <v>418</v>
      </c>
      <c r="K22" s="637">
        <v>10</v>
      </c>
      <c r="L22" s="613" t="s">
        <v>415</v>
      </c>
      <c r="M22" s="437"/>
      <c r="N22" s="488"/>
      <c r="O22" s="437"/>
      <c r="P22" s="965" t="s">
        <v>419</v>
      </c>
      <c r="Q22" s="966"/>
      <c r="R22" s="966"/>
      <c r="S22" s="966"/>
      <c r="T22" s="966"/>
      <c r="U22" s="966"/>
      <c r="V22" s="966"/>
      <c r="W22" s="966"/>
      <c r="X22" s="966"/>
      <c r="Y22" s="966"/>
      <c r="Z22" s="966"/>
      <c r="AA22" s="967"/>
      <c r="AB22" s="534"/>
    </row>
    <row r="23" spans="2:28" x14ac:dyDescent="0.25">
      <c r="B23" s="533"/>
      <c r="C23" s="985" t="s">
        <v>420</v>
      </c>
      <c r="D23" s="558" t="s">
        <v>327</v>
      </c>
      <c r="E23" s="559" t="s">
        <v>421</v>
      </c>
      <c r="F23" s="560">
        <f>'FLOWSHEE ZONE 300'!AI15</f>
        <v>900.59199999999998</v>
      </c>
      <c r="G23" s="534"/>
      <c r="I23" s="533"/>
      <c r="J23" s="624" t="s">
        <v>422</v>
      </c>
      <c r="K23" s="627">
        <f>L50</f>
        <v>135.08250415256254</v>
      </c>
      <c r="L23" s="602" t="s">
        <v>423</v>
      </c>
      <c r="M23" s="437"/>
      <c r="N23" s="437"/>
      <c r="O23" s="437"/>
      <c r="P23" s="533"/>
      <c r="Q23" s="600"/>
      <c r="R23" s="600"/>
      <c r="S23" s="600"/>
      <c r="T23" s="600"/>
      <c r="U23" s="600"/>
      <c r="V23" s="600"/>
      <c r="W23" s="600"/>
      <c r="X23" s="600"/>
      <c r="Y23" s="600"/>
      <c r="Z23" s="600"/>
      <c r="AA23" s="676"/>
      <c r="AB23" s="534"/>
    </row>
    <row r="24" spans="2:28" x14ac:dyDescent="0.25">
      <c r="B24" s="533"/>
      <c r="C24" s="986"/>
      <c r="D24" s="489" t="s">
        <v>328</v>
      </c>
      <c r="E24" s="491" t="s">
        <v>421</v>
      </c>
      <c r="F24" s="497">
        <f>'FLOWSHEE ZONE 300'!AJ15</f>
        <v>900.59199999999998</v>
      </c>
      <c r="G24" s="534"/>
      <c r="I24" s="533"/>
      <c r="J24" s="624" t="s">
        <v>424</v>
      </c>
      <c r="K24" s="656">
        <f>K55</f>
        <v>5.2069579451038779</v>
      </c>
      <c r="L24" s="613" t="s">
        <v>411</v>
      </c>
      <c r="M24" s="437"/>
      <c r="N24" s="437"/>
      <c r="O24" s="437"/>
      <c r="P24" s="601" t="s">
        <v>425</v>
      </c>
      <c r="Q24" s="657">
        <v>0</v>
      </c>
      <c r="R24" s="657">
        <f>R13</f>
        <v>113282.16335331177</v>
      </c>
      <c r="S24" s="657">
        <f t="shared" ref="S24:AA24" si="9">S13</f>
        <v>170258.16851203231</v>
      </c>
      <c r="T24" s="657">
        <f t="shared" si="9"/>
        <v>179123.43974455784</v>
      </c>
      <c r="U24" s="657">
        <f t="shared" si="9"/>
        <v>188450.32192188053</v>
      </c>
      <c r="V24" s="657">
        <f t="shared" si="9"/>
        <v>198262.85093176574</v>
      </c>
      <c r="W24" s="657">
        <f t="shared" si="9"/>
        <v>208586.31420054683</v>
      </c>
      <c r="X24" s="657">
        <f t="shared" si="9"/>
        <v>219447.31586021144</v>
      </c>
      <c r="Y24" s="657">
        <f t="shared" si="9"/>
        <v>230873.84530871199</v>
      </c>
      <c r="Z24" s="657">
        <f t="shared" si="9"/>
        <v>242895.34934018087</v>
      </c>
      <c r="AA24" s="678">
        <f t="shared" si="9"/>
        <v>255542.80803093722</v>
      </c>
      <c r="AB24" s="534"/>
    </row>
    <row r="25" spans="2:28" x14ac:dyDescent="0.25">
      <c r="B25" s="533"/>
      <c r="C25" s="986"/>
      <c r="D25" s="502" t="s">
        <v>334</v>
      </c>
      <c r="E25" s="503" t="s">
        <v>426</v>
      </c>
      <c r="F25" s="504">
        <f>'FLOWSHEE ZONE 300'!AI34</f>
        <v>3141.6000000000004</v>
      </c>
      <c r="G25" s="561"/>
      <c r="I25" s="533"/>
      <c r="J25" s="624" t="s">
        <v>427</v>
      </c>
      <c r="K25" s="626">
        <f>PRODUCT*N_EXTRACTION_PER_OPERDAY*OPER_YEAR</f>
        <v>3795.7593744402238</v>
      </c>
      <c r="L25" s="602" t="s">
        <v>428</v>
      </c>
      <c r="M25" s="437"/>
      <c r="N25" s="437"/>
      <c r="O25" s="437"/>
      <c r="P25" s="601" t="s">
        <v>429</v>
      </c>
      <c r="Q25" s="657">
        <v>0</v>
      </c>
      <c r="R25" s="657">
        <f>R19</f>
        <v>2644.9313529369979</v>
      </c>
      <c r="S25" s="657">
        <f t="shared" ref="S25:AA25" si="10">S19</f>
        <v>-17896.531527106687</v>
      </c>
      <c r="T25" s="657">
        <f t="shared" si="10"/>
        <v>-21749.202801604988</v>
      </c>
      <c r="U25" s="657">
        <f t="shared" si="10"/>
        <v>-25950.894492560896</v>
      </c>
      <c r="V25" s="657">
        <f t="shared" si="10"/>
        <v>-30556.883307136919</v>
      </c>
      <c r="W25" s="657">
        <f t="shared" si="10"/>
        <v>-35634.600027605542</v>
      </c>
      <c r="X25" s="657">
        <f t="shared" si="10"/>
        <v>-41266.581328982225</v>
      </c>
      <c r="Y25" s="657">
        <f t="shared" si="10"/>
        <v>-47554.155036575001</v>
      </c>
      <c r="Z25" s="657">
        <f t="shared" si="10"/>
        <v>-54622.041948361082</v>
      </c>
      <c r="AA25" s="678">
        <f t="shared" si="10"/>
        <v>-62624.103116090773</v>
      </c>
      <c r="AB25" s="534"/>
    </row>
    <row r="26" spans="2:28" x14ac:dyDescent="0.25">
      <c r="B26" s="533"/>
      <c r="C26" s="986"/>
      <c r="D26" s="489" t="s">
        <v>350</v>
      </c>
      <c r="E26" s="491" t="s">
        <v>430</v>
      </c>
      <c r="F26" s="497">
        <f>'FLOWSHEE ZONE 300'!AI47</f>
        <v>281.435</v>
      </c>
      <c r="G26" s="534"/>
      <c r="I26" s="533"/>
      <c r="J26" s="624" t="s">
        <v>431</v>
      </c>
      <c r="K26" s="637" t="s">
        <v>25</v>
      </c>
      <c r="L26" s="613" t="s">
        <v>428</v>
      </c>
      <c r="M26" s="437"/>
      <c r="N26" s="437"/>
      <c r="O26" s="437"/>
      <c r="P26" s="533"/>
      <c r="Q26" s="657"/>
      <c r="R26" s="657"/>
      <c r="S26" s="657"/>
      <c r="T26" s="657"/>
      <c r="U26" s="657"/>
      <c r="V26" s="657"/>
      <c r="W26" s="657"/>
      <c r="X26" s="657"/>
      <c r="Y26" s="657"/>
      <c r="Z26" s="657"/>
      <c r="AA26" s="678"/>
      <c r="AB26" s="534"/>
    </row>
    <row r="27" spans="2:28" ht="15.75" thickBot="1" x14ac:dyDescent="0.3">
      <c r="B27" s="533"/>
      <c r="C27" s="987"/>
      <c r="D27" s="508" t="s">
        <v>351</v>
      </c>
      <c r="E27" s="509" t="s">
        <v>430</v>
      </c>
      <c r="F27" s="510">
        <f>'FLOWSHEE ZONE 300'!AJ47</f>
        <v>281.435</v>
      </c>
      <c r="G27" s="534"/>
      <c r="I27" s="533"/>
      <c r="J27" s="624" t="s">
        <v>432</v>
      </c>
      <c r="K27" s="628">
        <v>70</v>
      </c>
      <c r="L27" s="602" t="s">
        <v>411</v>
      </c>
      <c r="M27" s="437"/>
      <c r="N27" s="437"/>
      <c r="O27" s="437"/>
      <c r="P27" s="601" t="s">
        <v>433</v>
      </c>
      <c r="Q27" s="657">
        <f>Q60</f>
        <v>0</v>
      </c>
      <c r="R27" s="657">
        <f t="shared" ref="R27:AA27" si="11">R60</f>
        <v>-37994.518312981083</v>
      </c>
      <c r="S27" s="657">
        <f t="shared" si="11"/>
        <v>-37994.518312981083</v>
      </c>
      <c r="T27" s="657">
        <f t="shared" si="11"/>
        <v>-37994.518312981083</v>
      </c>
      <c r="U27" s="657">
        <f t="shared" si="11"/>
        <v>-37994.518312981083</v>
      </c>
      <c r="V27" s="657">
        <f t="shared" si="11"/>
        <v>-37994.518312981083</v>
      </c>
      <c r="W27" s="657">
        <f t="shared" si="11"/>
        <v>-37994.518312981083</v>
      </c>
      <c r="X27" s="657">
        <f t="shared" si="11"/>
        <v>-37994.518312981083</v>
      </c>
      <c r="Y27" s="657">
        <f t="shared" si="11"/>
        <v>-37994.518312981083</v>
      </c>
      <c r="Z27" s="657">
        <f t="shared" si="11"/>
        <v>-37994.518312981083</v>
      </c>
      <c r="AA27" s="678">
        <f t="shared" si="11"/>
        <v>-37994.518312981083</v>
      </c>
      <c r="AB27" s="534"/>
    </row>
    <row r="28" spans="2:28" x14ac:dyDescent="0.25">
      <c r="B28" s="533"/>
      <c r="C28" s="548"/>
      <c r="D28" s="153"/>
      <c r="E28" s="487"/>
      <c r="F28" s="488"/>
      <c r="G28" s="534"/>
      <c r="I28" s="533"/>
      <c r="J28" s="624" t="s">
        <v>434</v>
      </c>
      <c r="K28" s="637" t="s">
        <v>25</v>
      </c>
      <c r="L28" s="613" t="s">
        <v>411</v>
      </c>
      <c r="M28" s="437"/>
      <c r="N28" s="488"/>
      <c r="O28" s="437"/>
      <c r="P28" s="533"/>
      <c r="Q28" s="657"/>
      <c r="R28" s="657"/>
      <c r="S28" s="657"/>
      <c r="T28" s="657"/>
      <c r="U28" s="657"/>
      <c r="V28" s="657"/>
      <c r="W28" s="657"/>
      <c r="X28" s="657"/>
      <c r="Y28" s="657"/>
      <c r="Z28" s="657"/>
      <c r="AA28" s="678"/>
      <c r="AB28" s="534"/>
    </row>
    <row r="29" spans="2:28" x14ac:dyDescent="0.25">
      <c r="B29" s="533"/>
      <c r="C29" s="538"/>
      <c r="D29" s="538"/>
      <c r="E29" s="539" t="s">
        <v>309</v>
      </c>
      <c r="F29" s="541">
        <f>SUM(F6:F27)</f>
        <v>192161.69703037245</v>
      </c>
      <c r="G29" s="534"/>
      <c r="I29" s="533"/>
      <c r="J29" s="624" t="s">
        <v>435</v>
      </c>
      <c r="K29" s="628" t="s">
        <v>25</v>
      </c>
      <c r="L29" s="602" t="s">
        <v>415</v>
      </c>
      <c r="M29" s="437"/>
      <c r="N29" s="437"/>
      <c r="O29" s="437"/>
      <c r="P29" s="601" t="s">
        <v>436</v>
      </c>
      <c r="Q29" s="657"/>
      <c r="R29" s="657"/>
      <c r="S29" s="657"/>
      <c r="T29" s="657"/>
      <c r="U29" s="657"/>
      <c r="V29" s="657"/>
      <c r="W29" s="657"/>
      <c r="X29" s="657"/>
      <c r="Y29" s="657"/>
      <c r="Z29" s="657"/>
      <c r="AA29" s="678"/>
      <c r="AB29" s="534"/>
    </row>
    <row r="30" spans="2:28" x14ac:dyDescent="0.25">
      <c r="B30" s="533"/>
      <c r="C30" s="543"/>
      <c r="D30" s="543"/>
      <c r="E30" s="544" t="s">
        <v>101</v>
      </c>
      <c r="F30" s="547">
        <f>(1.2)*F29</f>
        <v>230594.03643644694</v>
      </c>
      <c r="G30" s="534"/>
      <c r="I30" s="533"/>
      <c r="J30" s="624" t="s">
        <v>437</v>
      </c>
      <c r="K30" s="642">
        <f>F40</f>
        <v>379945.18312981084</v>
      </c>
      <c r="L30" s="613" t="s">
        <v>96</v>
      </c>
      <c r="M30" s="437"/>
      <c r="N30" s="437"/>
      <c r="O30" s="437"/>
      <c r="P30" s="533" t="s">
        <v>438</v>
      </c>
      <c r="Q30" s="657">
        <v>0</v>
      </c>
      <c r="R30" s="657">
        <f>-(R10/OPER_YEAR)*$K$36</f>
        <v>-33220.575763434521</v>
      </c>
      <c r="S30" s="657">
        <f>-(S10/OPER_YEAR)*$K$36-SUM($R$30:R$30)</f>
        <v>-16708.505911648259</v>
      </c>
      <c r="T30" s="657">
        <f>-(T10/OPER_YEAR)*$K$36-SUM($R$30:S$30)</f>
        <v>-2599.786285198119</v>
      </c>
      <c r="U30" s="657">
        <f>-(U10/OPER_YEAR)*$K$36-SUM($R$30:T$30)</f>
        <v>-2735.1560637309885</v>
      </c>
      <c r="V30" s="657">
        <f>-(V10/OPER_YEAR)*$K$36-SUM($R$30:U$30)</f>
        <v>-2877.5744897024051</v>
      </c>
      <c r="W30" s="657">
        <f>-(W10/OPER_YEAR)*$K$36-SUM($R$30:V$30)</f>
        <v>-3027.4085832202545</v>
      </c>
      <c r="X30" s="657">
        <f>-(X10/OPER_YEAR)*$K$36-SUM($R$30:W$30)</f>
        <v>-3185.0444749749731</v>
      </c>
      <c r="Y30" s="657">
        <f>-(Y10/OPER_YEAR)*$K$36-SUM($R$30:X$30)</f>
        <v>-3350.8884013198185</v>
      </c>
      <c r="Z30" s="657">
        <f>-(Z10/OPER_YEAR)*$K$36-SUM($R$30:Y$30)</f>
        <v>-3525.3677511638671</v>
      </c>
      <c r="AA30" s="678">
        <f>-(AA10/OPER_YEAR)*$K$36-SUM($R$30:Z$30)</f>
        <v>-3708.9321673772356</v>
      </c>
      <c r="AB30" s="534"/>
    </row>
    <row r="31" spans="2:28" ht="15.75" thickBot="1" x14ac:dyDescent="0.3">
      <c r="B31" s="533"/>
      <c r="C31" s="437"/>
      <c r="D31" s="437"/>
      <c r="E31" s="437"/>
      <c r="F31" s="437"/>
      <c r="G31" s="534"/>
      <c r="I31" s="533"/>
      <c r="J31" s="624" t="s">
        <v>439</v>
      </c>
      <c r="K31" s="628">
        <f>EQ_RATIO*100</f>
        <v>25</v>
      </c>
      <c r="L31" s="602" t="s">
        <v>411</v>
      </c>
      <c r="M31" s="437"/>
      <c r="N31" s="437"/>
      <c r="O31" s="437"/>
      <c r="P31" s="533" t="s">
        <v>440</v>
      </c>
      <c r="Q31" s="657">
        <v>0</v>
      </c>
      <c r="R31" s="657">
        <f>-(R11/OPER_YEAR)*$K$33</f>
        <v>-23254.403034404164</v>
      </c>
      <c r="S31" s="657">
        <f>-(S11/OPER_YEAR)*$K$33-SUM($R$31:R$31)</f>
        <v>-11695.954138153775</v>
      </c>
      <c r="T31" s="657">
        <f>-(T11/OPER_YEAR)*$K$33-SUM($R$31:S$31)</f>
        <v>-1819.8503996386862</v>
      </c>
      <c r="U31" s="657">
        <f>-(U11/OPER_YEAR)*$K$33-SUM($R$31:T$31)</f>
        <v>-1914.6092446116963</v>
      </c>
      <c r="V31" s="657">
        <f>-(V11/OPER_YEAR)*$K$33-SUM($R$31:U$31)</f>
        <v>-2014.3021427916829</v>
      </c>
      <c r="W31" s="657">
        <f>-(W11/OPER_YEAR)*$K$33-SUM($R$31:V$31)</f>
        <v>-2119.186008254168</v>
      </c>
      <c r="X31" s="657">
        <f>-(X11/OPER_YEAR)*$K$33-SUM($R$31:W$31)</f>
        <v>-2229.5311324824943</v>
      </c>
      <c r="Y31" s="657">
        <f>-(Y11/OPER_YEAR)*$K$33-SUM($R$31:X$31)</f>
        <v>-2345.6218809238635</v>
      </c>
      <c r="Z31" s="657">
        <f>-(Z11/OPER_YEAR)*$K$33-SUM($R$31:Y$31)</f>
        <v>-2467.7574258147069</v>
      </c>
      <c r="AA31" s="678">
        <f>-(AA11/OPER_YEAR)*$K$33-SUM($R$31:Z$31)</f>
        <v>-2596.2525171640737</v>
      </c>
      <c r="AB31" s="534"/>
    </row>
    <row r="32" spans="2:28" ht="15.75" thickBot="1" x14ac:dyDescent="0.3">
      <c r="B32" s="533"/>
      <c r="C32" s="981" t="s">
        <v>441</v>
      </c>
      <c r="D32" s="982"/>
      <c r="E32" s="983"/>
      <c r="F32" s="511">
        <v>54000</v>
      </c>
      <c r="G32" s="534"/>
      <c r="I32" s="533"/>
      <c r="J32" s="624" t="s">
        <v>442</v>
      </c>
      <c r="K32" s="637">
        <v>60</v>
      </c>
      <c r="L32" s="613" t="s">
        <v>411</v>
      </c>
      <c r="M32" s="437"/>
      <c r="N32" s="437"/>
      <c r="O32" s="437"/>
      <c r="P32" s="533" t="s">
        <v>443</v>
      </c>
      <c r="Q32" s="657">
        <v>0</v>
      </c>
      <c r="R32" s="657">
        <f>(R11/OPER_YEAR)*$K$35</f>
        <v>15502.935356269443</v>
      </c>
      <c r="S32" s="657">
        <f>(S11/OPER_YEAR)*$K$35-SUM($R$32:R$32)</f>
        <v>7797.3027587691849</v>
      </c>
      <c r="T32" s="657">
        <f>(T11/OPER_YEAR)*$K$35-SUM($R$32:S$32)</f>
        <v>1213.2335997591217</v>
      </c>
      <c r="U32" s="657">
        <f>(U11/OPER_YEAR)*$K$35-SUM($R$32:T$32)</f>
        <v>1276.4061630744618</v>
      </c>
      <c r="V32" s="657">
        <f>(V11/OPER_YEAR)*$K$35-SUM($R$32:U$32)</f>
        <v>1342.8680951944552</v>
      </c>
      <c r="W32" s="657">
        <f>(W11/OPER_YEAR)*$K$35-SUM($R$32:V$32)</f>
        <v>1412.790672169449</v>
      </c>
      <c r="X32" s="657">
        <f>(X11/OPER_YEAR)*$K$35-SUM($R$32:W$32)</f>
        <v>1486.3540883216629</v>
      </c>
      <c r="Y32" s="657">
        <f>(Y11/OPER_YEAR)*$K$35-SUM($R$32:X$32)</f>
        <v>1563.7479206159078</v>
      </c>
      <c r="Z32" s="657">
        <f>(Z11/OPER_YEAR)*$K$35-SUM($R$32:Y$32)</f>
        <v>1645.1716172098095</v>
      </c>
      <c r="AA32" s="678">
        <f>(AA11/OPER_YEAR)*$K$35-SUM($R$32:Z$32)</f>
        <v>1730.8350114427085</v>
      </c>
      <c r="AB32" s="534"/>
    </row>
    <row r="33" spans="2:28" ht="15.75" thickBot="1" x14ac:dyDescent="0.3">
      <c r="B33" s="533"/>
      <c r="C33" s="487"/>
      <c r="D33" s="487"/>
      <c r="E33" s="487"/>
      <c r="F33" s="488"/>
      <c r="G33" s="534"/>
      <c r="I33" s="533"/>
      <c r="J33" s="624" t="s">
        <v>444</v>
      </c>
      <c r="K33" s="628">
        <v>30</v>
      </c>
      <c r="L33" s="602" t="s">
        <v>445</v>
      </c>
      <c r="M33" s="437"/>
      <c r="N33" s="437"/>
      <c r="O33" s="437"/>
      <c r="P33" s="533"/>
      <c r="Q33" s="657"/>
      <c r="R33" s="657"/>
      <c r="S33" s="657"/>
      <c r="T33" s="657"/>
      <c r="U33" s="657"/>
      <c r="V33" s="657"/>
      <c r="W33" s="657"/>
      <c r="X33" s="657"/>
      <c r="Y33" s="657"/>
      <c r="Z33" s="657"/>
      <c r="AA33" s="678"/>
      <c r="AB33" s="534"/>
    </row>
    <row r="34" spans="2:28" ht="15.75" thickBot="1" x14ac:dyDescent="0.3">
      <c r="B34" s="533"/>
      <c r="C34" s="981" t="s">
        <v>446</v>
      </c>
      <c r="D34" s="982"/>
      <c r="E34" s="983"/>
      <c r="F34" s="511">
        <f>F29*0.2</f>
        <v>38432.33940607449</v>
      </c>
      <c r="G34" s="534"/>
      <c r="I34" s="533"/>
      <c r="J34" s="624" t="s">
        <v>408</v>
      </c>
      <c r="K34" s="637">
        <f>TAX_RATE</f>
        <v>0.35</v>
      </c>
      <c r="L34" s="613" t="s">
        <v>25</v>
      </c>
      <c r="M34" s="437"/>
      <c r="N34" s="437"/>
      <c r="O34" s="437"/>
      <c r="P34" s="601" t="s">
        <v>447</v>
      </c>
      <c r="Q34" s="657">
        <f>Q24+Q25+Q27+Q30+Q31+Q32</f>
        <v>0</v>
      </c>
      <c r="R34" s="657">
        <f t="shared" ref="R34:AA34" si="12">R24+R25+R27+R30+R31+R32</f>
        <v>36960.532951698449</v>
      </c>
      <c r="S34" s="657">
        <f t="shared" si="12"/>
        <v>93759.9613809117</v>
      </c>
      <c r="T34" s="657">
        <f t="shared" si="12"/>
        <v>116173.31554489408</v>
      </c>
      <c r="U34" s="657">
        <f t="shared" si="12"/>
        <v>121131.54997107034</v>
      </c>
      <c r="V34" s="657">
        <f t="shared" si="12"/>
        <v>126162.4407743481</v>
      </c>
      <c r="W34" s="657">
        <f t="shared" si="12"/>
        <v>131223.39194065524</v>
      </c>
      <c r="X34" s="657">
        <f t="shared" si="12"/>
        <v>136257.99469911231</v>
      </c>
      <c r="Y34" s="657">
        <f t="shared" si="12"/>
        <v>141192.40959752814</v>
      </c>
      <c r="Z34" s="657">
        <f t="shared" si="12"/>
        <v>145930.83551906992</v>
      </c>
      <c r="AA34" s="678">
        <f t="shared" si="12"/>
        <v>150349.83692876677</v>
      </c>
      <c r="AB34" s="534"/>
    </row>
    <row r="35" spans="2:28" x14ac:dyDescent="0.25">
      <c r="B35" s="533"/>
      <c r="C35" s="437"/>
      <c r="D35" s="437"/>
      <c r="E35" s="437"/>
      <c r="F35" s="437"/>
      <c r="G35" s="534"/>
      <c r="I35" s="533"/>
      <c r="J35" s="624" t="s">
        <v>448</v>
      </c>
      <c r="K35" s="628">
        <v>20</v>
      </c>
      <c r="L35" s="602" t="s">
        <v>445</v>
      </c>
      <c r="M35" s="437"/>
      <c r="N35" s="437"/>
      <c r="O35" s="437"/>
      <c r="P35" s="533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78"/>
      <c r="AB35" s="534"/>
    </row>
    <row r="36" spans="2:28" ht="18" x14ac:dyDescent="0.25">
      <c r="B36" s="533"/>
      <c r="C36" s="538"/>
      <c r="D36" s="538"/>
      <c r="E36" s="539" t="s">
        <v>449</v>
      </c>
      <c r="F36" s="312">
        <f>F30+F32</f>
        <v>284594.03643644694</v>
      </c>
      <c r="G36" s="534"/>
      <c r="I36" s="533"/>
      <c r="J36" s="624" t="s">
        <v>450</v>
      </c>
      <c r="K36" s="637">
        <v>30</v>
      </c>
      <c r="L36" s="613" t="s">
        <v>445</v>
      </c>
      <c r="M36" s="437"/>
      <c r="N36" s="437"/>
      <c r="O36" s="437"/>
      <c r="P36" s="601" t="s">
        <v>451</v>
      </c>
      <c r="Q36" s="657">
        <f>-F40</f>
        <v>-379945.18312981084</v>
      </c>
      <c r="R36" s="657">
        <v>0</v>
      </c>
      <c r="S36" s="657">
        <v>0</v>
      </c>
      <c r="T36" s="657">
        <v>0</v>
      </c>
      <c r="U36" s="657">
        <v>0</v>
      </c>
      <c r="V36" s="657">
        <v>0</v>
      </c>
      <c r="W36" s="657">
        <v>0</v>
      </c>
      <c r="X36" s="657">
        <v>0</v>
      </c>
      <c r="Y36" s="657">
        <v>0</v>
      </c>
      <c r="Z36" s="657">
        <v>0</v>
      </c>
      <c r="AA36" s="678">
        <v>0</v>
      </c>
      <c r="AB36" s="534"/>
    </row>
    <row r="37" spans="2:28" ht="15.75" thickBot="1" x14ac:dyDescent="0.3">
      <c r="B37" s="533"/>
      <c r="C37" s="538"/>
      <c r="D37" s="538"/>
      <c r="E37" s="539"/>
      <c r="F37" s="312"/>
      <c r="G37" s="534"/>
      <c r="I37" s="533"/>
      <c r="J37" s="625" t="s">
        <v>452</v>
      </c>
      <c r="K37" s="629">
        <f>K25*K27/100</f>
        <v>2657.0315621081563</v>
      </c>
      <c r="L37" s="621" t="s">
        <v>428</v>
      </c>
      <c r="M37" s="437"/>
      <c r="N37" s="437"/>
      <c r="O37" s="437"/>
      <c r="P37" s="533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78"/>
      <c r="AB37" s="534"/>
    </row>
    <row r="38" spans="2:28" ht="15.75" thickBot="1" x14ac:dyDescent="0.3">
      <c r="B38" s="533"/>
      <c r="C38" s="538"/>
      <c r="D38" s="538"/>
      <c r="E38" s="539" t="s">
        <v>453</v>
      </c>
      <c r="F38" s="312">
        <f>F36+F34</f>
        <v>323026.37584252143</v>
      </c>
      <c r="G38" s="534"/>
      <c r="I38" s="533"/>
      <c r="J38" s="437"/>
      <c r="K38" s="437"/>
      <c r="L38" s="437"/>
      <c r="M38" s="437"/>
      <c r="N38" s="437"/>
      <c r="O38" s="437"/>
      <c r="P38" s="601" t="s">
        <v>454</v>
      </c>
      <c r="Q38" s="657">
        <v>0</v>
      </c>
      <c r="R38" s="657">
        <v>0</v>
      </c>
      <c r="S38" s="657">
        <v>0</v>
      </c>
      <c r="T38" s="657">
        <v>0</v>
      </c>
      <c r="U38" s="657">
        <v>0</v>
      </c>
      <c r="V38" s="657">
        <v>0</v>
      </c>
      <c r="W38" s="657">
        <v>0</v>
      </c>
      <c r="X38" s="657">
        <v>0</v>
      </c>
      <c r="Y38" s="657">
        <v>0</v>
      </c>
      <c r="Z38" s="657">
        <v>0</v>
      </c>
      <c r="AA38" s="678">
        <v>0</v>
      </c>
      <c r="AB38" s="534"/>
    </row>
    <row r="39" spans="2:28" ht="15.75" thickBot="1" x14ac:dyDescent="0.3">
      <c r="B39" s="533"/>
      <c r="C39" s="538"/>
      <c r="D39" s="538"/>
      <c r="E39" s="539" t="s">
        <v>436</v>
      </c>
      <c r="F39" s="312">
        <f>0.2*F36</f>
        <v>56918.80728728939</v>
      </c>
      <c r="G39" s="534"/>
      <c r="I39" s="533"/>
      <c r="J39" s="968" t="s">
        <v>455</v>
      </c>
      <c r="K39" s="969"/>
      <c r="L39" s="969"/>
      <c r="M39" s="969"/>
      <c r="N39" s="970"/>
      <c r="O39" s="437"/>
      <c r="P39" s="533"/>
      <c r="Q39" s="657"/>
      <c r="R39" s="657"/>
      <c r="S39" s="657"/>
      <c r="T39" s="657"/>
      <c r="U39" s="657"/>
      <c r="V39" s="657"/>
      <c r="W39" s="657"/>
      <c r="X39" s="657"/>
      <c r="Y39" s="657"/>
      <c r="Z39" s="657"/>
      <c r="AA39" s="678"/>
      <c r="AB39" s="534"/>
    </row>
    <row r="40" spans="2:28" ht="15.75" thickBot="1" x14ac:dyDescent="0.3">
      <c r="B40" s="533"/>
      <c r="C40" s="543"/>
      <c r="D40" s="543"/>
      <c r="E40" s="544" t="s">
        <v>456</v>
      </c>
      <c r="F40" s="545">
        <f>F38+F39</f>
        <v>379945.18312981084</v>
      </c>
      <c r="G40" s="534"/>
      <c r="I40" s="533"/>
      <c r="J40" s="437"/>
      <c r="K40" s="437"/>
      <c r="L40" s="437"/>
      <c r="M40" s="153"/>
      <c r="N40" s="437"/>
      <c r="O40" s="437"/>
      <c r="P40" s="601" t="s">
        <v>457</v>
      </c>
      <c r="Q40" s="657">
        <f>Q34+Q36+Q38</f>
        <v>-379945.18312981084</v>
      </c>
      <c r="R40" s="657">
        <f t="shared" ref="R40:AA40" si="13">R34+R36+R38</f>
        <v>36960.532951698449</v>
      </c>
      <c r="S40" s="657">
        <f t="shared" si="13"/>
        <v>93759.9613809117</v>
      </c>
      <c r="T40" s="657">
        <f t="shared" si="13"/>
        <v>116173.31554489408</v>
      </c>
      <c r="U40" s="657">
        <f t="shared" si="13"/>
        <v>121131.54997107034</v>
      </c>
      <c r="V40" s="657">
        <f t="shared" si="13"/>
        <v>126162.4407743481</v>
      </c>
      <c r="W40" s="657">
        <f t="shared" si="13"/>
        <v>131223.39194065524</v>
      </c>
      <c r="X40" s="657">
        <f t="shared" si="13"/>
        <v>136257.99469911231</v>
      </c>
      <c r="Y40" s="657">
        <f t="shared" si="13"/>
        <v>141192.40959752814</v>
      </c>
      <c r="Z40" s="657">
        <f t="shared" si="13"/>
        <v>145930.83551906992</v>
      </c>
      <c r="AA40" s="678">
        <f t="shared" si="13"/>
        <v>150349.83692876677</v>
      </c>
      <c r="AB40" s="534"/>
    </row>
    <row r="41" spans="2:28" ht="15.75" thickBot="1" x14ac:dyDescent="0.3">
      <c r="B41" s="533"/>
      <c r="C41" s="437"/>
      <c r="D41" s="437"/>
      <c r="E41" s="437"/>
      <c r="F41" s="437"/>
      <c r="G41" s="534"/>
      <c r="I41" s="533"/>
      <c r="J41" s="437"/>
      <c r="K41" s="631" t="s">
        <v>458</v>
      </c>
      <c r="L41" s="631" t="s">
        <v>459</v>
      </c>
      <c r="M41" s="631" t="s">
        <v>460</v>
      </c>
      <c r="N41" s="437"/>
      <c r="O41" s="437"/>
      <c r="P41" s="601" t="s">
        <v>461</v>
      </c>
      <c r="Q41" s="657">
        <f t="shared" ref="Q41:AA41" si="14">Q40/((1+$Q$44)^Q5)</f>
        <v>-379945.18312981084</v>
      </c>
      <c r="R41" s="657">
        <f t="shared" si="14"/>
        <v>30864.745679915199</v>
      </c>
      <c r="S41" s="657">
        <f t="shared" si="14"/>
        <v>65383.230638577552</v>
      </c>
      <c r="T41" s="657">
        <f t="shared" si="14"/>
        <v>67651.87190475002</v>
      </c>
      <c r="U41" s="657">
        <f t="shared" si="14"/>
        <v>58905.410390656143</v>
      </c>
      <c r="V41" s="657">
        <f t="shared" si="14"/>
        <v>51233.316720124996</v>
      </c>
      <c r="W41" s="657">
        <f t="shared" si="14"/>
        <v>44499.806953127678</v>
      </c>
      <c r="X41" s="657">
        <f t="shared" si="14"/>
        <v>38586.317950388388</v>
      </c>
      <c r="Y41" s="657">
        <f t="shared" si="14"/>
        <v>33389.28916263915</v>
      </c>
      <c r="Z41" s="657">
        <f t="shared" si="14"/>
        <v>28818.234449924395</v>
      </c>
      <c r="AA41" s="678">
        <f t="shared" si="14"/>
        <v>24794.065292056785</v>
      </c>
      <c r="AB41" s="534"/>
    </row>
    <row r="42" spans="2:28" ht="18.75" thickBot="1" x14ac:dyDescent="0.3">
      <c r="B42" s="533"/>
      <c r="C42" s="968" t="s">
        <v>223</v>
      </c>
      <c r="D42" s="969"/>
      <c r="E42" s="969"/>
      <c r="F42" s="970"/>
      <c r="G42" s="534"/>
      <c r="I42" s="533"/>
      <c r="J42" s="623" t="s">
        <v>462</v>
      </c>
      <c r="K42" s="630" t="s">
        <v>423</v>
      </c>
      <c r="L42" s="661">
        <f>SUMPRODUCT(K7:K9,M7:M9)</f>
        <v>30.72864288373426</v>
      </c>
      <c r="M42" s="1031">
        <f>L42/$L$48</f>
        <v>0.32497222003597842</v>
      </c>
      <c r="N42" s="437"/>
      <c r="O42" s="437"/>
      <c r="P42" s="601" t="s">
        <v>463</v>
      </c>
      <c r="Q42" s="657">
        <f>Q41</f>
        <v>-379945.18312981084</v>
      </c>
      <c r="R42" s="657">
        <f>Q42+R41</f>
        <v>-349080.43744989566</v>
      </c>
      <c r="S42" s="657">
        <f t="shared" ref="S42:AA42" si="15">R42+S41</f>
        <v>-283697.20681131812</v>
      </c>
      <c r="T42" s="657">
        <f t="shared" si="15"/>
        <v>-216045.33490656811</v>
      </c>
      <c r="U42" s="657">
        <f t="shared" si="15"/>
        <v>-157139.92451591196</v>
      </c>
      <c r="V42" s="657">
        <f t="shared" si="15"/>
        <v>-105906.60779578696</v>
      </c>
      <c r="W42" s="657">
        <f t="shared" si="15"/>
        <v>-61406.800842659279</v>
      </c>
      <c r="X42" s="657">
        <f t="shared" si="15"/>
        <v>-22820.482892270891</v>
      </c>
      <c r="Y42" s="657">
        <f t="shared" si="15"/>
        <v>10568.806270368259</v>
      </c>
      <c r="Z42" s="657">
        <f t="shared" si="15"/>
        <v>39387.040720292658</v>
      </c>
      <c r="AA42" s="678">
        <f t="shared" si="15"/>
        <v>64181.106012349439</v>
      </c>
      <c r="AB42" s="534"/>
    </row>
    <row r="43" spans="2:28" ht="18" x14ac:dyDescent="0.25">
      <c r="B43" s="533"/>
      <c r="C43" s="437"/>
      <c r="D43" s="437"/>
      <c r="E43" s="437"/>
      <c r="F43" s="437"/>
      <c r="G43" s="534"/>
      <c r="I43" s="533"/>
      <c r="J43" s="624" t="s">
        <v>464</v>
      </c>
      <c r="K43" s="502" t="s">
        <v>423</v>
      </c>
      <c r="L43" s="663">
        <f>K12*M12</f>
        <v>0</v>
      </c>
      <c r="M43" s="1032">
        <f>L43/$L$48</f>
        <v>0</v>
      </c>
      <c r="N43" s="437"/>
      <c r="O43" s="437"/>
      <c r="P43" s="401"/>
      <c r="Q43" s="600"/>
      <c r="R43" s="600"/>
      <c r="S43" s="600"/>
      <c r="T43" s="600"/>
      <c r="U43" s="600"/>
      <c r="V43" s="600"/>
      <c r="W43" s="600"/>
      <c r="X43" s="600"/>
      <c r="Y43" s="600"/>
      <c r="Z43" s="600"/>
      <c r="AA43" s="676"/>
      <c r="AB43" s="534"/>
    </row>
    <row r="44" spans="2:28" ht="18" x14ac:dyDescent="0.25">
      <c r="B44" s="533"/>
      <c r="C44" s="538"/>
      <c r="D44" s="538"/>
      <c r="E44" s="538"/>
      <c r="F44" s="542" t="s">
        <v>363</v>
      </c>
      <c r="G44" s="534"/>
      <c r="I44" s="533"/>
      <c r="J44" s="624" t="s">
        <v>465</v>
      </c>
      <c r="K44" s="489" t="s">
        <v>423</v>
      </c>
      <c r="L44" s="664">
        <f>SUMPRODUCT(K11:K12,M11:M12)</f>
        <v>19.706737651935853</v>
      </c>
      <c r="M44" s="1033">
        <f t="shared" ref="M44:M47" si="16">L44/$L$48</f>
        <v>0.20840953857438768</v>
      </c>
      <c r="N44" s="437"/>
      <c r="O44" s="437"/>
      <c r="P44" s="601" t="s">
        <v>466</v>
      </c>
      <c r="Q44" s="684">
        <f>M60</f>
        <v>0.19750000000000001</v>
      </c>
      <c r="R44" s="600"/>
      <c r="S44" s="600"/>
      <c r="T44" s="600"/>
      <c r="U44" s="600"/>
      <c r="V44" s="600"/>
      <c r="W44" s="600"/>
      <c r="X44" s="600"/>
      <c r="Y44" s="600"/>
      <c r="Z44" s="600"/>
      <c r="AA44" s="676"/>
      <c r="AB44" s="534"/>
    </row>
    <row r="45" spans="2:28" ht="18" x14ac:dyDescent="0.25">
      <c r="B45" s="533"/>
      <c r="C45" s="984" t="s">
        <v>467</v>
      </c>
      <c r="D45" s="984"/>
      <c r="E45" s="984"/>
      <c r="F45" s="540">
        <f>( (EE_ZONE100+EE_ZONE200+EE_ZONE300) + (0.338*24*365) )*EE_COST</f>
        <v>75175.105061969647</v>
      </c>
      <c r="G45" s="534"/>
      <c r="I45" s="533"/>
      <c r="J45" s="624" t="s">
        <v>468</v>
      </c>
      <c r="K45" s="502" t="s">
        <v>423</v>
      </c>
      <c r="L45" s="662">
        <f>K13*M13</f>
        <v>31.224132336032056</v>
      </c>
      <c r="M45" s="1032">
        <f t="shared" si="16"/>
        <v>0.33021229223594073</v>
      </c>
      <c r="N45" s="437"/>
      <c r="O45" s="437"/>
      <c r="P45" s="601" t="s">
        <v>469</v>
      </c>
      <c r="Q45" s="684">
        <f>IRR(Q40:AA40)</f>
        <v>0.23731051010909643</v>
      </c>
      <c r="R45" s="600"/>
      <c r="S45" s="600"/>
      <c r="T45" s="600"/>
      <c r="U45" s="600"/>
      <c r="V45" s="600"/>
      <c r="W45" s="600"/>
      <c r="X45" s="600"/>
      <c r="Y45" s="600"/>
      <c r="Z45" s="600"/>
      <c r="AA45" s="676"/>
      <c r="AB45" s="534"/>
    </row>
    <row r="46" spans="2:28" x14ac:dyDescent="0.25">
      <c r="B46" s="533"/>
      <c r="C46" s="984" t="s">
        <v>470</v>
      </c>
      <c r="D46" s="984"/>
      <c r="E46" s="984"/>
      <c r="F46" s="540">
        <f>( (12*OPERATOR_SALARY)+(3*SUPERVISOR_SALARY)+(1*ENGINEER_SALARY) )/4300</f>
        <v>118519.29302325581</v>
      </c>
      <c r="G46" s="534"/>
      <c r="I46" s="533"/>
      <c r="J46" s="624" t="s">
        <v>471</v>
      </c>
      <c r="K46" s="489" t="s">
        <v>423</v>
      </c>
      <c r="L46" s="664">
        <f>SUMPRODUCT(K15:K16,M15:M16)</f>
        <v>11.398703271234355</v>
      </c>
      <c r="M46" s="1033">
        <f t="shared" si="16"/>
        <v>0.12054752699622776</v>
      </c>
      <c r="N46" s="437"/>
      <c r="O46" s="437"/>
      <c r="P46" s="601" t="s">
        <v>472</v>
      </c>
      <c r="Q46" s="685">
        <f>-AA42/Q36</f>
        <v>0.16892201523297515</v>
      </c>
      <c r="R46" s="600"/>
      <c r="S46" s="600"/>
      <c r="T46" s="600"/>
      <c r="U46" s="600"/>
      <c r="V46" s="600"/>
      <c r="W46" s="600"/>
      <c r="X46" s="600"/>
      <c r="Y46" s="600"/>
      <c r="Z46" s="600"/>
      <c r="AA46" s="676"/>
      <c r="AB46" s="534"/>
    </row>
    <row r="47" spans="2:28" ht="15.75" thickBot="1" x14ac:dyDescent="0.3">
      <c r="B47" s="533"/>
      <c r="C47" s="984" t="s">
        <v>473</v>
      </c>
      <c r="D47" s="984"/>
      <c r="E47" s="984"/>
      <c r="F47" s="541">
        <f>F38*0.06</f>
        <v>19381.582550551284</v>
      </c>
      <c r="G47" s="534"/>
      <c r="I47" s="533"/>
      <c r="J47" s="624" t="s">
        <v>433</v>
      </c>
      <c r="K47" s="502" t="s">
        <v>423</v>
      </c>
      <c r="L47" s="663">
        <f>(F39/K22)/K25</f>
        <v>1.499536763857257</v>
      </c>
      <c r="M47" s="1034">
        <f t="shared" si="16"/>
        <v>1.5858422157465614E-2</v>
      </c>
      <c r="N47" s="437"/>
      <c r="O47" s="437"/>
      <c r="P47" s="601" t="s">
        <v>474</v>
      </c>
      <c r="Q47" s="686">
        <f>X5+(ABS(X42)/Y41)</f>
        <v>7.6834671676031308</v>
      </c>
      <c r="R47" s="668"/>
      <c r="S47" s="600"/>
      <c r="T47" s="600"/>
      <c r="U47" s="600"/>
      <c r="V47" s="600"/>
      <c r="W47" s="600"/>
      <c r="X47" s="600"/>
      <c r="Y47" s="600"/>
      <c r="Z47" s="600"/>
      <c r="AA47" s="676"/>
      <c r="AB47" s="534"/>
    </row>
    <row r="48" spans="2:28" x14ac:dyDescent="0.25">
      <c r="B48" s="533"/>
      <c r="C48" s="984" t="s">
        <v>475</v>
      </c>
      <c r="D48" s="984"/>
      <c r="E48" s="984"/>
      <c r="F48" s="312">
        <f>( N2_COST)*( ('FLOWSHEET ZONE 100'!E4*1000/810.72) )*OPER_YEAR</f>
        <v>96480</v>
      </c>
      <c r="G48" s="534"/>
      <c r="I48" s="533"/>
      <c r="J48" s="624" t="s">
        <v>476</v>
      </c>
      <c r="K48" s="489" t="s">
        <v>423</v>
      </c>
      <c r="L48" s="664">
        <f>SUM(L42:L47)</f>
        <v>94.557752906793766</v>
      </c>
      <c r="M48" s="646"/>
      <c r="N48" s="437"/>
      <c r="O48" s="437"/>
      <c r="P48" s="533"/>
      <c r="Q48" s="600"/>
      <c r="R48" s="600"/>
      <c r="S48" s="600"/>
      <c r="T48" s="600"/>
      <c r="U48" s="600"/>
      <c r="V48" s="600"/>
      <c r="W48" s="600"/>
      <c r="X48" s="600"/>
      <c r="Y48" s="600"/>
      <c r="Z48" s="600"/>
      <c r="AA48" s="676"/>
      <c r="AB48" s="534"/>
    </row>
    <row r="49" spans="2:28" ht="18" x14ac:dyDescent="0.25">
      <c r="B49" s="533"/>
      <c r="C49" s="984" t="s">
        <v>477</v>
      </c>
      <c r="D49" s="984"/>
      <c r="E49" s="984"/>
      <c r="F49" s="541">
        <f>( CO2_COST )*('FLOWSHEET ZONE 200'!E4*N_EXTRACTION_PER_OPERDAY*OPER_YEAR)</f>
        <v>14396.759830269801</v>
      </c>
      <c r="G49" s="534"/>
      <c r="I49" s="533"/>
      <c r="J49" s="624" t="s">
        <v>478</v>
      </c>
      <c r="K49" s="502" t="s">
        <v>411</v>
      </c>
      <c r="L49" s="653">
        <v>5.2069579451038779</v>
      </c>
      <c r="M49" s="647"/>
      <c r="N49" s="437"/>
      <c r="O49" s="437"/>
      <c r="P49" s="965" t="s">
        <v>479</v>
      </c>
      <c r="Q49" s="966"/>
      <c r="R49" s="966"/>
      <c r="S49" s="966"/>
      <c r="T49" s="966"/>
      <c r="U49" s="966"/>
      <c r="V49" s="966"/>
      <c r="W49" s="966"/>
      <c r="X49" s="966"/>
      <c r="Y49" s="966"/>
      <c r="Z49" s="966"/>
      <c r="AA49" s="967"/>
      <c r="AB49" s="534"/>
    </row>
    <row r="50" spans="2:28" ht="15.75" thickBot="1" x14ac:dyDescent="0.3">
      <c r="B50" s="533"/>
      <c r="C50" s="984" t="s">
        <v>480</v>
      </c>
      <c r="D50" s="984"/>
      <c r="E50" s="984"/>
      <c r="F50" s="541">
        <f>(RM_COST)*(RAW_TOTAL*OPER_YEAR)</f>
        <v>5761.7744594903852</v>
      </c>
      <c r="G50" s="534"/>
      <c r="I50" s="533"/>
      <c r="J50" s="625" t="s">
        <v>422</v>
      </c>
      <c r="K50" s="490" t="s">
        <v>423</v>
      </c>
      <c r="L50" s="665">
        <f>L48/(1-(L53/100))</f>
        <v>135.08250415256254</v>
      </c>
      <c r="M50" s="648"/>
      <c r="N50" s="669"/>
      <c r="O50" s="669"/>
      <c r="P50" s="533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76"/>
      <c r="AB50" s="534"/>
    </row>
    <row r="51" spans="2:28" x14ac:dyDescent="0.25">
      <c r="B51" s="533"/>
      <c r="C51" s="980" t="s">
        <v>101</v>
      </c>
      <c r="D51" s="980"/>
      <c r="E51" s="980"/>
      <c r="F51" s="546">
        <f>SUM(F45:F50)</f>
        <v>329714.51492553693</v>
      </c>
      <c r="G51" s="534"/>
      <c r="I51" s="533"/>
      <c r="J51" s="437"/>
      <c r="K51" s="153"/>
      <c r="L51" s="437"/>
      <c r="M51" s="437"/>
      <c r="N51" s="669"/>
      <c r="O51" s="669"/>
      <c r="P51" s="601" t="s">
        <v>481</v>
      </c>
      <c r="Q51" s="657">
        <f>-(K32/100)*F40</f>
        <v>-227967.10987788651</v>
      </c>
      <c r="R51" s="657">
        <f>Q51+R53</f>
        <v>-221111.55474084086</v>
      </c>
      <c r="S51" s="657">
        <f t="shared" ref="S51:AA51" si="17">R51+S53</f>
        <v>-212542.11081953379</v>
      </c>
      <c r="T51" s="657">
        <f t="shared" si="17"/>
        <v>-201830.30591789994</v>
      </c>
      <c r="U51" s="657">
        <f t="shared" si="17"/>
        <v>-188440.54979085765</v>
      </c>
      <c r="V51" s="657">
        <f t="shared" si="17"/>
        <v>-171703.35463205478</v>
      </c>
      <c r="W51" s="657">
        <f t="shared" si="17"/>
        <v>-150781.86068355117</v>
      </c>
      <c r="X51" s="657">
        <f t="shared" si="17"/>
        <v>-124629.9932479217</v>
      </c>
      <c r="Y51" s="657">
        <f t="shared" si="17"/>
        <v>-91940.158953384846</v>
      </c>
      <c r="Z51" s="657">
        <f t="shared" si="17"/>
        <v>-51077.866085213776</v>
      </c>
      <c r="AA51" s="678">
        <f t="shared" si="17"/>
        <v>5.8207660913467407E-11</v>
      </c>
      <c r="AB51" s="534"/>
    </row>
    <row r="52" spans="2:28" ht="15.75" thickBot="1" x14ac:dyDescent="0.3">
      <c r="B52" s="535"/>
      <c r="C52" s="536"/>
      <c r="D52" s="536"/>
      <c r="E52" s="536"/>
      <c r="F52" s="536"/>
      <c r="G52" s="537"/>
      <c r="I52" s="533"/>
      <c r="J52" s="649" t="s">
        <v>482</v>
      </c>
      <c r="K52" s="650" t="s">
        <v>423</v>
      </c>
      <c r="L52" s="651">
        <f>L50-L48</f>
        <v>40.524751245768769</v>
      </c>
      <c r="M52" s="670"/>
      <c r="N52" s="669"/>
      <c r="O52" s="669"/>
      <c r="P52" s="601" t="s">
        <v>403</v>
      </c>
      <c r="Q52" s="657">
        <v>0</v>
      </c>
      <c r="R52" s="657">
        <f>Q51*$Q$56</f>
        <v>-56991.777469471628</v>
      </c>
      <c r="S52" s="657">
        <f t="shared" ref="S52:AA52" si="18">R51*$Q$56</f>
        <v>-55277.888685210215</v>
      </c>
      <c r="T52" s="657">
        <f t="shared" si="18"/>
        <v>-53135.527704883447</v>
      </c>
      <c r="U52" s="657">
        <f t="shared" si="18"/>
        <v>-50457.576479474985</v>
      </c>
      <c r="V52" s="657">
        <f t="shared" si="18"/>
        <v>-47110.137447714413</v>
      </c>
      <c r="W52" s="657">
        <f t="shared" si="18"/>
        <v>-42925.838658013694</v>
      </c>
      <c r="X52" s="657">
        <f t="shared" si="18"/>
        <v>-37695.465170887794</v>
      </c>
      <c r="Y52" s="657">
        <f t="shared" si="18"/>
        <v>-31157.498311980424</v>
      </c>
      <c r="Z52" s="657">
        <f t="shared" si="18"/>
        <v>-22985.039738346211</v>
      </c>
      <c r="AA52" s="678">
        <f t="shared" si="18"/>
        <v>-12769.466521303444</v>
      </c>
      <c r="AB52" s="534"/>
    </row>
    <row r="53" spans="2:28" x14ac:dyDescent="0.25">
      <c r="C53" s="979"/>
      <c r="D53" s="979"/>
      <c r="E53" s="979"/>
      <c r="I53" s="533"/>
      <c r="J53" s="543"/>
      <c r="K53" s="671" t="s">
        <v>411</v>
      </c>
      <c r="L53" s="672">
        <v>30</v>
      </c>
      <c r="M53" s="437"/>
      <c r="N53" s="437"/>
      <c r="O53" s="437"/>
      <c r="P53" s="601" t="s">
        <v>483</v>
      </c>
      <c r="Q53" s="657">
        <v>0</v>
      </c>
      <c r="R53" s="657">
        <f>R54+R52</f>
        <v>6855.5551370456524</v>
      </c>
      <c r="S53" s="657">
        <f t="shared" ref="S53:AA53" si="19">S54+S52</f>
        <v>8569.4439213070655</v>
      </c>
      <c r="T53" s="657">
        <f t="shared" si="19"/>
        <v>10711.804901633834</v>
      </c>
      <c r="U53" s="657">
        <f t="shared" si="19"/>
        <v>13389.756127042296</v>
      </c>
      <c r="V53" s="657">
        <f t="shared" si="19"/>
        <v>16737.195158802868</v>
      </c>
      <c r="W53" s="657">
        <f t="shared" si="19"/>
        <v>20921.493948503587</v>
      </c>
      <c r="X53" s="657">
        <f t="shared" si="19"/>
        <v>26151.867435629487</v>
      </c>
      <c r="Y53" s="657">
        <f t="shared" si="19"/>
        <v>32689.834294536857</v>
      </c>
      <c r="Z53" s="657">
        <f t="shared" si="19"/>
        <v>40862.292868171069</v>
      </c>
      <c r="AA53" s="678">
        <f t="shared" si="19"/>
        <v>51077.866085213835</v>
      </c>
      <c r="AB53" s="534"/>
    </row>
    <row r="54" spans="2:28" ht="15.75" thickBot="1" x14ac:dyDescent="0.3">
      <c r="C54" s="979"/>
      <c r="D54" s="979"/>
      <c r="E54" s="979"/>
      <c r="I54" s="533"/>
      <c r="J54" s="437"/>
      <c r="K54" s="437"/>
      <c r="L54" s="437"/>
      <c r="M54" s="437"/>
      <c r="N54" s="437"/>
      <c r="O54" s="437"/>
      <c r="P54" s="601" t="s">
        <v>484</v>
      </c>
      <c r="Q54" s="657">
        <v>0</v>
      </c>
      <c r="R54" s="657">
        <f>PMT(Q56,K21,Q51,,0)</f>
        <v>63847.332606517281</v>
      </c>
      <c r="S54" s="657">
        <f>R54</f>
        <v>63847.332606517281</v>
      </c>
      <c r="T54" s="657">
        <f t="shared" ref="T54:AA54" si="20">S54</f>
        <v>63847.332606517281</v>
      </c>
      <c r="U54" s="657">
        <f t="shared" si="20"/>
        <v>63847.332606517281</v>
      </c>
      <c r="V54" s="657">
        <f t="shared" si="20"/>
        <v>63847.332606517281</v>
      </c>
      <c r="W54" s="657">
        <f t="shared" si="20"/>
        <v>63847.332606517281</v>
      </c>
      <c r="X54" s="657">
        <f t="shared" si="20"/>
        <v>63847.332606517281</v>
      </c>
      <c r="Y54" s="657">
        <f t="shared" si="20"/>
        <v>63847.332606517281</v>
      </c>
      <c r="Z54" s="657">
        <f t="shared" si="20"/>
        <v>63847.332606517281</v>
      </c>
      <c r="AA54" s="678">
        <f t="shared" si="20"/>
        <v>63847.332606517281</v>
      </c>
      <c r="AB54" s="534"/>
    </row>
    <row r="55" spans="2:28" ht="15.75" thickBot="1" x14ac:dyDescent="0.3">
      <c r="C55" s="979"/>
      <c r="D55" s="979"/>
      <c r="E55" s="979"/>
      <c r="I55" s="533"/>
      <c r="J55" s="610" t="s">
        <v>485</v>
      </c>
      <c r="K55" s="654">
        <v>5.2069579451038779</v>
      </c>
      <c r="L55" s="652" t="s">
        <v>411</v>
      </c>
      <c r="M55" s="437"/>
      <c r="N55" s="437"/>
      <c r="O55" s="437"/>
      <c r="P55" s="533"/>
      <c r="Q55" s="657"/>
      <c r="R55" s="657"/>
      <c r="S55" s="657"/>
      <c r="T55" s="657"/>
      <c r="U55" s="657"/>
      <c r="V55" s="657"/>
      <c r="W55" s="657"/>
      <c r="X55" s="657"/>
      <c r="Y55" s="657"/>
      <c r="Z55" s="657"/>
      <c r="AA55" s="678"/>
      <c r="AB55" s="534"/>
    </row>
    <row r="56" spans="2:28" x14ac:dyDescent="0.25">
      <c r="C56" s="979"/>
      <c r="D56" s="979"/>
      <c r="E56" s="979"/>
      <c r="I56" s="533"/>
      <c r="J56" s="437"/>
      <c r="K56" s="437"/>
      <c r="L56" s="437"/>
      <c r="M56" s="437"/>
      <c r="N56" s="437"/>
      <c r="O56" s="437"/>
      <c r="P56" s="679" t="s">
        <v>486</v>
      </c>
      <c r="Q56" s="660">
        <f>K20/100</f>
        <v>0.25</v>
      </c>
      <c r="R56" s="657"/>
      <c r="S56" s="657"/>
      <c r="T56" s="657"/>
      <c r="U56" s="657"/>
      <c r="V56" s="657"/>
      <c r="W56" s="657"/>
      <c r="X56" s="657"/>
      <c r="Y56" s="657"/>
      <c r="Z56" s="657"/>
      <c r="AA56" s="678"/>
      <c r="AB56" s="534"/>
    </row>
    <row r="57" spans="2:28" x14ac:dyDescent="0.25">
      <c r="C57" s="979"/>
      <c r="D57" s="979"/>
      <c r="E57" s="979"/>
      <c r="I57" s="533"/>
      <c r="J57" s="1040" t="s">
        <v>487</v>
      </c>
      <c r="K57" s="1041">
        <f>K32/100</f>
        <v>0.6</v>
      </c>
      <c r="L57" s="1042">
        <f>K20*(1-K34)/100</f>
        <v>0.16250000000000001</v>
      </c>
      <c r="M57" s="1042">
        <f>L57*K57</f>
        <v>9.7500000000000003E-2</v>
      </c>
      <c r="N57" s="437"/>
      <c r="O57" s="437"/>
      <c r="P57" s="533"/>
      <c r="Q57" s="657"/>
      <c r="R57" s="657"/>
      <c r="S57" s="657"/>
      <c r="T57" s="657"/>
      <c r="U57" s="657"/>
      <c r="V57" s="657"/>
      <c r="W57" s="657"/>
      <c r="X57" s="657"/>
      <c r="Y57" s="657"/>
      <c r="Z57" s="657"/>
      <c r="AA57" s="678"/>
      <c r="AB57" s="534"/>
    </row>
    <row r="58" spans="2:28" x14ac:dyDescent="0.25">
      <c r="C58" s="979"/>
      <c r="D58" s="979"/>
      <c r="E58" s="979"/>
      <c r="I58" s="533"/>
      <c r="J58" s="1040" t="s">
        <v>488</v>
      </c>
      <c r="K58" s="1041">
        <f>(1-K57)</f>
        <v>0.4</v>
      </c>
      <c r="L58" s="1042">
        <f>K31/100</f>
        <v>0.25</v>
      </c>
      <c r="M58" s="1042">
        <f>L58*K58</f>
        <v>0.1</v>
      </c>
      <c r="N58" s="437"/>
      <c r="O58" s="437"/>
      <c r="P58" s="965" t="s">
        <v>489</v>
      </c>
      <c r="Q58" s="966"/>
      <c r="R58" s="966"/>
      <c r="S58" s="966"/>
      <c r="T58" s="966"/>
      <c r="U58" s="966"/>
      <c r="V58" s="966"/>
      <c r="W58" s="966"/>
      <c r="X58" s="966"/>
      <c r="Y58" s="966"/>
      <c r="Z58" s="966"/>
      <c r="AA58" s="967"/>
      <c r="AB58" s="534"/>
    </row>
    <row r="59" spans="2:28" x14ac:dyDescent="0.25">
      <c r="C59" s="979"/>
      <c r="D59" s="979"/>
      <c r="E59" s="979"/>
      <c r="I59" s="533"/>
      <c r="J59" s="1040"/>
      <c r="K59" s="1043"/>
      <c r="L59" s="1044"/>
      <c r="M59" s="1042"/>
      <c r="N59" s="437"/>
      <c r="O59" s="437"/>
      <c r="P59" s="533"/>
      <c r="Q59" s="600"/>
      <c r="R59" s="600"/>
      <c r="S59" s="600"/>
      <c r="T59" s="600"/>
      <c r="U59" s="600"/>
      <c r="V59" s="600"/>
      <c r="W59" s="600"/>
      <c r="X59" s="600"/>
      <c r="Y59" s="600"/>
      <c r="Z59" s="600"/>
      <c r="AA59" s="676"/>
      <c r="AB59" s="534"/>
    </row>
    <row r="60" spans="2:28" ht="15.75" thickBot="1" x14ac:dyDescent="0.3">
      <c r="C60" s="979"/>
      <c r="D60" s="979"/>
      <c r="E60" s="979"/>
      <c r="I60" s="533"/>
      <c r="J60" s="1040" t="s">
        <v>101</v>
      </c>
      <c r="K60" s="1043"/>
      <c r="L60" s="1044"/>
      <c r="M60" s="1044">
        <f>SUM(M57:M58)</f>
        <v>0.19750000000000001</v>
      </c>
      <c r="N60" s="437"/>
      <c r="O60" s="437"/>
      <c r="P60" s="680" t="s">
        <v>433</v>
      </c>
      <c r="Q60" s="681">
        <v>0</v>
      </c>
      <c r="R60" s="682">
        <f t="shared" ref="R60:AA60" si="21">-$F$40/$K$22</f>
        <v>-37994.518312981083</v>
      </c>
      <c r="S60" s="682">
        <f t="shared" si="21"/>
        <v>-37994.518312981083</v>
      </c>
      <c r="T60" s="682">
        <f t="shared" si="21"/>
        <v>-37994.518312981083</v>
      </c>
      <c r="U60" s="682">
        <f t="shared" si="21"/>
        <v>-37994.518312981083</v>
      </c>
      <c r="V60" s="682">
        <f t="shared" si="21"/>
        <v>-37994.518312981083</v>
      </c>
      <c r="W60" s="682">
        <f t="shared" si="21"/>
        <v>-37994.518312981083</v>
      </c>
      <c r="X60" s="682">
        <f t="shared" si="21"/>
        <v>-37994.518312981083</v>
      </c>
      <c r="Y60" s="682">
        <f t="shared" si="21"/>
        <v>-37994.518312981083</v>
      </c>
      <c r="Z60" s="682">
        <f t="shared" si="21"/>
        <v>-37994.518312981083</v>
      </c>
      <c r="AA60" s="683">
        <f t="shared" si="21"/>
        <v>-37994.518312981083</v>
      </c>
      <c r="AB60" s="534"/>
    </row>
    <row r="61" spans="2:28" ht="15.75" thickBot="1" x14ac:dyDescent="0.3">
      <c r="C61" s="979"/>
      <c r="D61" s="979"/>
      <c r="E61" s="979"/>
      <c r="I61" s="535"/>
      <c r="J61" s="536"/>
      <c r="K61" s="536"/>
      <c r="L61" s="536"/>
      <c r="M61" s="536"/>
      <c r="N61" s="536"/>
      <c r="O61" s="536"/>
      <c r="P61" s="536"/>
      <c r="Q61" s="536"/>
      <c r="R61" s="536"/>
      <c r="S61" s="536"/>
      <c r="T61" s="536"/>
      <c r="U61" s="536"/>
      <c r="V61" s="536"/>
      <c r="W61" s="536"/>
      <c r="X61" s="536"/>
      <c r="Y61" s="536"/>
      <c r="Z61" s="536"/>
      <c r="AA61" s="536"/>
      <c r="AB61" s="537"/>
    </row>
    <row r="62" spans="2:28" x14ac:dyDescent="0.25">
      <c r="C62" s="979"/>
      <c r="D62" s="979"/>
      <c r="E62" s="979"/>
    </row>
    <row r="63" spans="2:28" x14ac:dyDescent="0.25">
      <c r="W63" s="666"/>
    </row>
  </sheetData>
  <mergeCells count="37">
    <mergeCell ref="C6:C14"/>
    <mergeCell ref="C15:C22"/>
    <mergeCell ref="C23:C27"/>
    <mergeCell ref="C3:F3"/>
    <mergeCell ref="C32:E32"/>
    <mergeCell ref="C51:E51"/>
    <mergeCell ref="C34:E34"/>
    <mergeCell ref="C42:F42"/>
    <mergeCell ref="C59:E59"/>
    <mergeCell ref="C60:E60"/>
    <mergeCell ref="C45:E45"/>
    <mergeCell ref="C46:E46"/>
    <mergeCell ref="C47:E47"/>
    <mergeCell ref="C48:E48"/>
    <mergeCell ref="C49:E49"/>
    <mergeCell ref="C50:E50"/>
    <mergeCell ref="C62:E62"/>
    <mergeCell ref="C53:E53"/>
    <mergeCell ref="C54:E54"/>
    <mergeCell ref="C55:E55"/>
    <mergeCell ref="C56:E56"/>
    <mergeCell ref="C57:E57"/>
    <mergeCell ref="C58:E58"/>
    <mergeCell ref="C61:E61"/>
    <mergeCell ref="P49:AA49"/>
    <mergeCell ref="P58:AA58"/>
    <mergeCell ref="J18:N18"/>
    <mergeCell ref="J39:N39"/>
    <mergeCell ref="P3:AA3"/>
    <mergeCell ref="J10:N10"/>
    <mergeCell ref="J14:N14"/>
    <mergeCell ref="J3:N3"/>
    <mergeCell ref="J6:N6"/>
    <mergeCell ref="K5:L5"/>
    <mergeCell ref="M5:N5"/>
    <mergeCell ref="P7:AA7"/>
    <mergeCell ref="P22:AA22"/>
  </mergeCells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B3775-9EE8-43E4-B02C-D7EE8EF00F92}">
  <sheetPr codeName="Hoja10"/>
  <dimension ref="B1:R35"/>
  <sheetViews>
    <sheetView showGridLines="0" zoomScale="88" workbookViewId="0">
      <selection activeCell="J61" sqref="J61"/>
    </sheetView>
  </sheetViews>
  <sheetFormatPr baseColWidth="10" defaultColWidth="11.42578125" defaultRowHeight="15" x14ac:dyDescent="0.25"/>
  <cols>
    <col min="1" max="1" width="3.5703125" style="562" customWidth="1"/>
    <col min="2" max="2" width="5.85546875" style="562" customWidth="1"/>
    <col min="3" max="3" width="12.85546875" style="562" customWidth="1"/>
    <col min="4" max="4" width="11" style="562" customWidth="1"/>
    <col min="5" max="6" width="8.85546875" style="562" customWidth="1"/>
    <col min="7" max="12" width="14.7109375" style="562" bestFit="1" customWidth="1"/>
    <col min="13" max="17" width="15.85546875" style="562" bestFit="1" customWidth="1"/>
    <col min="18" max="18" width="5.85546875" style="562" customWidth="1"/>
    <col min="19" max="16384" width="11.42578125" style="562"/>
  </cols>
  <sheetData>
    <row r="1" spans="2:18" ht="15.75" thickBot="1" x14ac:dyDescent="0.3"/>
    <row r="2" spans="2:18" ht="15.75" thickBot="1" x14ac:dyDescent="0.3">
      <c r="B2" s="530"/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2"/>
    </row>
    <row r="3" spans="2:18" ht="19.5" customHeight="1" x14ac:dyDescent="0.25">
      <c r="B3" s="533"/>
      <c r="C3" s="992" t="s">
        <v>490</v>
      </c>
      <c r="D3" s="996" t="s">
        <v>469</v>
      </c>
      <c r="E3" s="994" t="s">
        <v>491</v>
      </c>
      <c r="F3" s="996" t="s">
        <v>492</v>
      </c>
      <c r="G3" s="998"/>
      <c r="H3" s="998"/>
      <c r="I3" s="998"/>
      <c r="J3" s="998"/>
      <c r="K3" s="998"/>
      <c r="L3" s="998"/>
      <c r="M3" s="998"/>
      <c r="N3" s="998"/>
      <c r="O3" s="998"/>
      <c r="P3" s="998"/>
      <c r="Q3" s="999"/>
      <c r="R3" s="534"/>
    </row>
    <row r="4" spans="2:18" ht="15.75" thickBot="1" x14ac:dyDescent="0.3">
      <c r="B4" s="533"/>
      <c r="C4" s="993"/>
      <c r="D4" s="997"/>
      <c r="E4" s="995"/>
      <c r="F4" s="997"/>
      <c r="G4" s="595">
        <v>0</v>
      </c>
      <c r="H4" s="595">
        <v>1</v>
      </c>
      <c r="I4" s="595">
        <v>2</v>
      </c>
      <c r="J4" s="595">
        <v>3</v>
      </c>
      <c r="K4" s="595">
        <v>4</v>
      </c>
      <c r="L4" s="595">
        <v>5</v>
      </c>
      <c r="M4" s="595">
        <v>6</v>
      </c>
      <c r="N4" s="595">
        <v>7</v>
      </c>
      <c r="O4" s="595">
        <v>8</v>
      </c>
      <c r="P4" s="595">
        <v>9</v>
      </c>
      <c r="Q4" s="596">
        <v>10</v>
      </c>
      <c r="R4" s="534"/>
    </row>
    <row r="5" spans="2:18" x14ac:dyDescent="0.25">
      <c r="B5" s="533"/>
      <c r="C5" s="687">
        <v>0.3</v>
      </c>
      <c r="D5" s="579">
        <v>0.23731051010909601</v>
      </c>
      <c r="E5" s="580">
        <v>7.6834671676031308</v>
      </c>
      <c r="F5" s="581">
        <v>0.16892201523297515</v>
      </c>
      <c r="G5" s="582">
        <v>-363145.18312981084</v>
      </c>
      <c r="H5" s="582">
        <v>-332945.12145002279</v>
      </c>
      <c r="I5" s="582">
        <v>-268840.95273436198</v>
      </c>
      <c r="J5" s="582">
        <v>-202488.09777727572</v>
      </c>
      <c r="K5" s="582">
        <v>-144700.48908717779</v>
      </c>
      <c r="L5" s="582">
        <v>-94426.303905040491</v>
      </c>
      <c r="M5" s="582">
        <v>-50746.530750735816</v>
      </c>
      <c r="N5" s="582">
        <v>-12858.141938369547</v>
      </c>
      <c r="O5" s="582">
        <v>19940.569071957492</v>
      </c>
      <c r="P5" s="582">
        <v>48262.768121356421</v>
      </c>
      <c r="Q5" s="583">
        <v>72644.223643918274</v>
      </c>
      <c r="R5" s="534"/>
    </row>
    <row r="6" spans="2:18" x14ac:dyDescent="0.25">
      <c r="B6" s="533"/>
      <c r="C6" s="688">
        <v>0.4</v>
      </c>
      <c r="D6" s="569">
        <v>0.38420003478590781</v>
      </c>
      <c r="E6" s="573">
        <v>4.2045114883919128</v>
      </c>
      <c r="F6" s="568">
        <v>0.8774519104315962</v>
      </c>
      <c r="G6" s="563">
        <v>-363145.18312981084</v>
      </c>
      <c r="H6" s="563">
        <v>-303955.92340563075</v>
      </c>
      <c r="I6" s="563">
        <v>-199678.61135931674</v>
      </c>
      <c r="J6" s="563">
        <v>-96604.634458034721</v>
      </c>
      <c r="K6" s="563">
        <v>-6555.5014916943182</v>
      </c>
      <c r="L6" s="563">
        <v>72062.20626059403</v>
      </c>
      <c r="M6" s="563">
        <v>140643.3221042848</v>
      </c>
      <c r="N6" s="563">
        <v>200408.90935589001</v>
      </c>
      <c r="O6" s="563">
        <v>252427.94183722921</v>
      </c>
      <c r="P6" s="563">
        <v>297636.24988614506</v>
      </c>
      <c r="Q6" s="564">
        <v>336853.08043474966</v>
      </c>
      <c r="R6" s="534"/>
    </row>
    <row r="7" spans="2:18" x14ac:dyDescent="0.25">
      <c r="B7" s="533"/>
      <c r="C7" s="693">
        <v>0.5</v>
      </c>
      <c r="D7" s="584">
        <v>0.56291309398891487</v>
      </c>
      <c r="E7" s="585">
        <v>2.7276695251388539</v>
      </c>
      <c r="F7" s="586">
        <v>1.8693937637096669</v>
      </c>
      <c r="G7" s="587">
        <v>-363145.18312981084</v>
      </c>
      <c r="H7" s="587">
        <v>-263371.0461434818</v>
      </c>
      <c r="I7" s="587">
        <v>-102851.33343425338</v>
      </c>
      <c r="J7" s="587">
        <v>51632.214188902726</v>
      </c>
      <c r="K7" s="587">
        <v>186847.48114198263</v>
      </c>
      <c r="L7" s="587">
        <v>305146.12049248244</v>
      </c>
      <c r="M7" s="587">
        <v>408589.11610131379</v>
      </c>
      <c r="N7" s="587">
        <v>498982.78116785351</v>
      </c>
      <c r="O7" s="587">
        <v>577910.26370860974</v>
      </c>
      <c r="P7" s="587">
        <v>646759.12435684935</v>
      </c>
      <c r="Q7" s="588">
        <v>706745.47994191374</v>
      </c>
      <c r="R7" s="534"/>
    </row>
    <row r="8" spans="2:18" ht="15.75" thickBot="1" x14ac:dyDescent="0.3">
      <c r="B8" s="533"/>
      <c r="C8" s="694">
        <v>0.6</v>
      </c>
      <c r="D8" s="570">
        <v>0.80670800867479442</v>
      </c>
      <c r="E8" s="574">
        <v>1.8661117337801651</v>
      </c>
      <c r="F8" s="1035">
        <v>3.3573065436267711</v>
      </c>
      <c r="G8" s="565">
        <v>-379945.18312981084</v>
      </c>
      <c r="H8" s="565">
        <v>-216163.45738596612</v>
      </c>
      <c r="I8" s="565">
        <v>33415.723861833831</v>
      </c>
      <c r="J8" s="565">
        <v>269435.84886236023</v>
      </c>
      <c r="K8" s="565">
        <v>476262.02520489908</v>
      </c>
      <c r="L8" s="565">
        <v>657451.86637351906</v>
      </c>
      <c r="M8" s="565">
        <v>816125.62407691544</v>
      </c>
      <c r="N8" s="565">
        <v>955020.03417769948</v>
      </c>
      <c r="O8" s="565">
        <v>1076535.4964711969</v>
      </c>
      <c r="P8" s="565">
        <v>1182777.4185239701</v>
      </c>
      <c r="Q8" s="566">
        <v>1275592.4495411857</v>
      </c>
      <c r="R8" s="534"/>
    </row>
    <row r="9" spans="2:18" ht="15.75" thickBot="1" x14ac:dyDescent="0.3">
      <c r="B9" s="533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534"/>
    </row>
    <row r="10" spans="2:18" ht="15" customHeight="1" x14ac:dyDescent="0.25">
      <c r="B10" s="533"/>
      <c r="C10" s="992" t="s">
        <v>490</v>
      </c>
      <c r="D10" s="994" t="s">
        <v>469</v>
      </c>
      <c r="E10" s="996" t="s">
        <v>491</v>
      </c>
      <c r="F10" s="994" t="s">
        <v>492</v>
      </c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534"/>
    </row>
    <row r="11" spans="2:18" ht="15.75" thickBot="1" x14ac:dyDescent="0.3">
      <c r="B11" s="533"/>
      <c r="C11" s="993"/>
      <c r="D11" s="995"/>
      <c r="E11" s="997"/>
      <c r="F11" s="995"/>
      <c r="G11" s="437"/>
      <c r="H11" s="437"/>
      <c r="I11" s="437"/>
      <c r="J11" s="437"/>
      <c r="K11" s="437"/>
      <c r="L11" s="437"/>
      <c r="M11" s="437"/>
      <c r="N11" s="437"/>
      <c r="O11" s="437"/>
      <c r="P11" s="437"/>
      <c r="Q11" s="437"/>
      <c r="R11" s="534"/>
    </row>
    <row r="12" spans="2:18" x14ac:dyDescent="0.25">
      <c r="B12" s="533"/>
      <c r="C12" s="689">
        <f>C5</f>
        <v>0.3</v>
      </c>
      <c r="D12" s="589">
        <f>D5/$D$8</f>
        <v>0.29417150636564737</v>
      </c>
      <c r="E12" s="590">
        <f>E5/$E$5</f>
        <v>1</v>
      </c>
      <c r="F12" s="591">
        <f>F5/$F$8</f>
        <v>5.0314742796913357E-2</v>
      </c>
      <c r="G12" s="437"/>
      <c r="H12" s="437"/>
      <c r="I12" s="437"/>
      <c r="J12" s="437"/>
      <c r="K12" s="437"/>
      <c r="L12" s="437"/>
      <c r="M12" s="437"/>
      <c r="N12" s="437"/>
      <c r="O12" s="437"/>
      <c r="P12" s="437"/>
      <c r="Q12" s="437"/>
      <c r="R12" s="534"/>
    </row>
    <row r="13" spans="2:18" x14ac:dyDescent="0.25">
      <c r="B13" s="533"/>
      <c r="C13" s="690">
        <f>C6</f>
        <v>0.4</v>
      </c>
      <c r="D13" s="575">
        <f>D6/$D$8</f>
        <v>0.47625662650485612</v>
      </c>
      <c r="E13" s="571">
        <f>E6/$E$5</f>
        <v>0.54721539074442571</v>
      </c>
      <c r="F13" s="577">
        <f>F6/$F$8</f>
        <v>0.26135591106426587</v>
      </c>
      <c r="G13" s="437"/>
      <c r="H13" s="437"/>
      <c r="I13" s="437"/>
      <c r="J13" s="437"/>
      <c r="K13" s="437"/>
      <c r="L13" s="437"/>
      <c r="M13" s="437"/>
      <c r="N13" s="437"/>
      <c r="O13" s="437"/>
      <c r="P13" s="437"/>
      <c r="Q13" s="437"/>
      <c r="R13" s="534"/>
    </row>
    <row r="14" spans="2:18" x14ac:dyDescent="0.25">
      <c r="B14" s="533"/>
      <c r="C14" s="691">
        <f>C7</f>
        <v>0.5</v>
      </c>
      <c r="D14" s="592">
        <f>D7/$D$8</f>
        <v>0.69779038752030065</v>
      </c>
      <c r="E14" s="593">
        <f>E7/$E$5</f>
        <v>0.35500503426889174</v>
      </c>
      <c r="F14" s="594">
        <f>F7/$F$8</f>
        <v>0.55681354663855975</v>
      </c>
      <c r="G14" s="437"/>
      <c r="H14" s="437"/>
      <c r="I14" s="437"/>
      <c r="J14" s="437"/>
      <c r="K14" s="437"/>
      <c r="L14" s="437"/>
      <c r="M14" s="437"/>
      <c r="N14" s="437"/>
      <c r="O14" s="437"/>
      <c r="P14" s="437"/>
      <c r="Q14" s="437"/>
      <c r="R14" s="534"/>
    </row>
    <row r="15" spans="2:18" ht="15.75" thickBot="1" x14ac:dyDescent="0.3">
      <c r="B15" s="533"/>
      <c r="C15" s="692">
        <f>C8</f>
        <v>0.6</v>
      </c>
      <c r="D15" s="576">
        <f>D8/$D$8</f>
        <v>1</v>
      </c>
      <c r="E15" s="572">
        <f>E8/$E$5</f>
        <v>0.24287365235951175</v>
      </c>
      <c r="F15" s="578">
        <f>F8/$F$8</f>
        <v>1</v>
      </c>
      <c r="G15" s="437"/>
      <c r="H15" s="437"/>
      <c r="I15" s="437"/>
      <c r="J15" s="437"/>
      <c r="K15" s="437"/>
      <c r="L15" s="437"/>
      <c r="M15" s="437"/>
      <c r="N15" s="437"/>
      <c r="O15" s="437"/>
      <c r="P15" s="437"/>
      <c r="Q15" s="437"/>
      <c r="R15" s="534"/>
    </row>
    <row r="16" spans="2:18" x14ac:dyDescent="0.25">
      <c r="B16" s="533"/>
      <c r="C16" s="437"/>
      <c r="D16" s="567"/>
      <c r="E16" s="437"/>
      <c r="F16" s="437"/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534"/>
    </row>
    <row r="17" spans="2:18" x14ac:dyDescent="0.25">
      <c r="B17" s="533"/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437"/>
      <c r="N17" s="437"/>
      <c r="O17" s="437"/>
      <c r="P17" s="437"/>
      <c r="Q17" s="437"/>
      <c r="R17" s="534"/>
    </row>
    <row r="18" spans="2:18" x14ac:dyDescent="0.25">
      <c r="B18" s="533"/>
      <c r="C18" s="437"/>
      <c r="D18" s="437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534"/>
    </row>
    <row r="19" spans="2:18" x14ac:dyDescent="0.25">
      <c r="B19" s="533"/>
      <c r="C19" s="437"/>
      <c r="D19" s="437"/>
      <c r="E19" s="437"/>
      <c r="F19" s="437"/>
      <c r="G19" s="437"/>
      <c r="H19" s="437"/>
      <c r="I19" s="437"/>
      <c r="J19" s="437"/>
      <c r="K19" s="437"/>
      <c r="L19" s="437"/>
      <c r="M19" s="437"/>
      <c r="N19" s="437"/>
      <c r="O19" s="437"/>
      <c r="P19" s="437"/>
      <c r="Q19" s="437"/>
      <c r="R19" s="534"/>
    </row>
    <row r="20" spans="2:18" x14ac:dyDescent="0.25">
      <c r="B20" s="533"/>
      <c r="C20" s="437"/>
      <c r="D20" s="437"/>
      <c r="E20" s="437"/>
      <c r="F20" s="437"/>
      <c r="G20" s="437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534"/>
    </row>
    <row r="21" spans="2:18" x14ac:dyDescent="0.25">
      <c r="B21" s="533"/>
      <c r="C21" s="437"/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534"/>
    </row>
    <row r="22" spans="2:18" x14ac:dyDescent="0.25">
      <c r="B22" s="533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534"/>
    </row>
    <row r="23" spans="2:18" x14ac:dyDescent="0.25">
      <c r="B23" s="533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534"/>
    </row>
    <row r="24" spans="2:18" x14ac:dyDescent="0.25">
      <c r="B24" s="533"/>
      <c r="C24" s="437"/>
      <c r="D24" s="437"/>
      <c r="E24" s="437"/>
      <c r="F24" s="437"/>
      <c r="G24" s="437"/>
      <c r="H24" s="437"/>
      <c r="I24" s="437"/>
      <c r="J24" s="437"/>
      <c r="K24" s="437"/>
      <c r="L24" s="437"/>
      <c r="M24" s="437"/>
      <c r="N24" s="437"/>
      <c r="O24" s="437"/>
      <c r="P24" s="437"/>
      <c r="Q24" s="437"/>
      <c r="R24" s="534"/>
    </row>
    <row r="25" spans="2:18" x14ac:dyDescent="0.25">
      <c r="B25" s="533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534"/>
    </row>
    <row r="26" spans="2:18" x14ac:dyDescent="0.25">
      <c r="B26" s="533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534"/>
    </row>
    <row r="27" spans="2:18" x14ac:dyDescent="0.25">
      <c r="B27" s="533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534"/>
    </row>
    <row r="28" spans="2:18" x14ac:dyDescent="0.25">
      <c r="B28" s="533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534"/>
    </row>
    <row r="29" spans="2:18" x14ac:dyDescent="0.25">
      <c r="B29" s="533"/>
      <c r="C29" s="437"/>
      <c r="D29" s="437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534"/>
    </row>
    <row r="30" spans="2:18" x14ac:dyDescent="0.25">
      <c r="B30" s="533"/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534"/>
    </row>
    <row r="31" spans="2:18" x14ac:dyDescent="0.25">
      <c r="B31" s="533"/>
      <c r="C31" s="437"/>
      <c r="D31" s="437"/>
      <c r="E31" s="437"/>
      <c r="F31" s="437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534"/>
    </row>
    <row r="32" spans="2:18" x14ac:dyDescent="0.25">
      <c r="B32" s="533"/>
      <c r="C32" s="437"/>
      <c r="D32" s="437"/>
      <c r="E32" s="437"/>
      <c r="F32" s="437"/>
      <c r="G32" s="437"/>
      <c r="H32" s="437"/>
      <c r="I32" s="437"/>
      <c r="J32" s="437"/>
      <c r="K32" s="437"/>
      <c r="L32" s="437"/>
      <c r="M32" s="437"/>
      <c r="N32" s="437"/>
      <c r="O32" s="437"/>
      <c r="P32" s="437"/>
      <c r="Q32" s="437"/>
      <c r="R32" s="534"/>
    </row>
    <row r="33" spans="2:18" x14ac:dyDescent="0.25">
      <c r="B33" s="533"/>
      <c r="C33" s="437"/>
      <c r="D33" s="437"/>
      <c r="E33" s="437"/>
      <c r="F33" s="437"/>
      <c r="G33" s="437"/>
      <c r="H33" s="437"/>
      <c r="I33" s="437"/>
      <c r="J33" s="437"/>
      <c r="K33" s="437"/>
      <c r="L33" s="437"/>
      <c r="M33" s="437"/>
      <c r="N33" s="437"/>
      <c r="O33" s="437"/>
      <c r="P33" s="437"/>
      <c r="Q33" s="437"/>
      <c r="R33" s="534"/>
    </row>
    <row r="34" spans="2:18" x14ac:dyDescent="0.25">
      <c r="B34" s="533"/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534"/>
    </row>
    <row r="35" spans="2:18" ht="15.75" thickBot="1" x14ac:dyDescent="0.3">
      <c r="B35" s="535"/>
      <c r="C35" s="536"/>
      <c r="D35" s="536"/>
      <c r="E35" s="536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6"/>
      <c r="R35" s="537"/>
    </row>
  </sheetData>
  <mergeCells count="9">
    <mergeCell ref="C10:C11"/>
    <mergeCell ref="D10:D11"/>
    <mergeCell ref="E10:E11"/>
    <mergeCell ref="F10:F11"/>
    <mergeCell ref="G3:Q3"/>
    <mergeCell ref="C3:C4"/>
    <mergeCell ref="D3:D4"/>
    <mergeCell ref="E3:E4"/>
    <mergeCell ref="F3:F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DEE0-B12D-4BB5-98EA-92D79CA10068}">
  <sheetPr codeName="Hoja9"/>
  <dimension ref="B2:I56"/>
  <sheetViews>
    <sheetView showGridLines="0" workbookViewId="0">
      <selection activeCell="K13" sqref="K13:R22"/>
    </sheetView>
  </sheetViews>
  <sheetFormatPr baseColWidth="10" defaultColWidth="11.42578125" defaultRowHeight="15" x14ac:dyDescent="0.25"/>
  <cols>
    <col min="1" max="1" width="4.140625" style="69" customWidth="1"/>
    <col min="2" max="2" width="11.42578125" style="69"/>
    <col min="3" max="3" width="15.85546875" style="69" customWidth="1"/>
    <col min="4" max="4" width="13.5703125" style="69" customWidth="1"/>
    <col min="5" max="5" width="18.85546875" style="69" customWidth="1"/>
    <col min="6" max="6" width="3.7109375" style="69" customWidth="1"/>
    <col min="7" max="9" width="11.42578125" style="69"/>
    <col min="10" max="10" width="13.28515625" style="69" customWidth="1"/>
    <col min="11" max="16384" width="11.42578125" style="69"/>
  </cols>
  <sheetData>
    <row r="2" spans="2:9" ht="15.75" thickBot="1" x14ac:dyDescent="0.3">
      <c r="B2" s="1004" t="s">
        <v>493</v>
      </c>
      <c r="C2" s="1004"/>
      <c r="D2" s="1004"/>
      <c r="E2" s="1004"/>
      <c r="F2" s="1004"/>
      <c r="G2" s="1004"/>
      <c r="H2" s="1004"/>
      <c r="I2" s="1004"/>
    </row>
    <row r="3" spans="2:9" ht="15.75" thickBot="1" x14ac:dyDescent="0.3"/>
    <row r="4" spans="2:9" ht="15.75" thickBot="1" x14ac:dyDescent="0.3">
      <c r="B4" s="1000" t="s">
        <v>494</v>
      </c>
      <c r="C4" s="339" t="s">
        <v>495</v>
      </c>
      <c r="D4" s="339" t="s">
        <v>496</v>
      </c>
      <c r="E4" s="1002" t="s">
        <v>497</v>
      </c>
      <c r="G4" s="1004" t="s">
        <v>498</v>
      </c>
      <c r="H4" s="1004"/>
    </row>
    <row r="5" spans="2:9" ht="18" thickBot="1" x14ac:dyDescent="0.3">
      <c r="B5" s="1001"/>
      <c r="C5" s="340" t="s">
        <v>499</v>
      </c>
      <c r="D5" s="340" t="s">
        <v>499</v>
      </c>
      <c r="E5" s="1003"/>
    </row>
    <row r="6" spans="2:9" x14ac:dyDescent="0.25">
      <c r="B6" s="341">
        <v>268.14999999999998</v>
      </c>
      <c r="C6" s="342">
        <v>3.09067523</v>
      </c>
      <c r="D6" s="342">
        <f>$H$6*(B6^$H$7)+$H$8</f>
        <v>3.0924800713580978</v>
      </c>
      <c r="E6" s="343">
        <f>ABS(C6-D6)/C6</f>
        <v>5.8396344610358013E-4</v>
      </c>
      <c r="G6" s="353" t="s">
        <v>500</v>
      </c>
      <c r="H6" s="349">
        <v>-8799051.0996525865</v>
      </c>
    </row>
    <row r="7" spans="2:9" x14ac:dyDescent="0.25">
      <c r="B7" s="366">
        <v>269.14999999999998</v>
      </c>
      <c r="C7" s="367">
        <v>3.0971246099999998</v>
      </c>
      <c r="D7" s="367">
        <f t="shared" ref="D7:D56" si="0">$H$6*(B7^$H$7)+$H$8</f>
        <v>3.0984318607495349</v>
      </c>
      <c r="E7" s="368">
        <f t="shared" ref="E7:E56" si="1">ABS(C7-D7)/C7</f>
        <v>4.2208529334410047E-4</v>
      </c>
      <c r="G7" s="354" t="s">
        <v>501</v>
      </c>
      <c r="H7" s="350">
        <v>-2.969420882214691</v>
      </c>
    </row>
    <row r="8" spans="2:9" ht="15.75" thickBot="1" x14ac:dyDescent="0.3">
      <c r="B8" s="344">
        <v>270.14999999999998</v>
      </c>
      <c r="C8" s="338">
        <v>3.1034058099999999</v>
      </c>
      <c r="D8" s="338">
        <f t="shared" si="0"/>
        <v>3.1042965167266354</v>
      </c>
      <c r="E8" s="345">
        <f t="shared" si="1"/>
        <v>2.8700942808233414E-4</v>
      </c>
      <c r="G8" s="355" t="s">
        <v>502</v>
      </c>
      <c r="H8" s="351">
        <v>3.6339322265897898</v>
      </c>
    </row>
    <row r="9" spans="2:9" ht="15.75" thickBot="1" x14ac:dyDescent="0.3">
      <c r="B9" s="366">
        <v>271.14999999999998</v>
      </c>
      <c r="C9" s="367">
        <v>3.1095298100000002</v>
      </c>
      <c r="D9" s="367">
        <f t="shared" si="0"/>
        <v>3.1100756304014885</v>
      </c>
      <c r="E9" s="368">
        <f t="shared" si="1"/>
        <v>1.7553149023784957E-4</v>
      </c>
    </row>
    <row r="10" spans="2:9" ht="15.75" thickBot="1" x14ac:dyDescent="0.3">
      <c r="B10" s="344">
        <v>272.14999999999998</v>
      </c>
      <c r="C10" s="338">
        <v>3.1155065999999998</v>
      </c>
      <c r="D10" s="338">
        <f t="shared" si="0"/>
        <v>3.1157707581126104</v>
      </c>
      <c r="E10" s="345">
        <f t="shared" si="1"/>
        <v>8.4788173008717706E-5</v>
      </c>
      <c r="G10" s="356" t="s">
        <v>503</v>
      </c>
      <c r="H10" s="352">
        <f>100*AVERAGE(E6:E56)</f>
        <v>1.2477373233488723E-2</v>
      </c>
    </row>
    <row r="11" spans="2:9" ht="15.75" thickBot="1" x14ac:dyDescent="0.3">
      <c r="B11" s="366">
        <v>273.14999999999998</v>
      </c>
      <c r="C11" s="367">
        <v>3.1213453699999998</v>
      </c>
      <c r="D11" s="367">
        <f t="shared" si="0"/>
        <v>3.1213834223089831</v>
      </c>
      <c r="E11" s="368">
        <f t="shared" si="1"/>
        <v>1.2190996020203157E-5</v>
      </c>
    </row>
    <row r="12" spans="2:9" x14ac:dyDescent="0.25">
      <c r="B12" s="344">
        <v>274.14999999999998</v>
      </c>
      <c r="C12" s="338">
        <v>3.1270544999999998</v>
      </c>
      <c r="D12" s="338">
        <f t="shared" si="0"/>
        <v>3.1269151124085011</v>
      </c>
      <c r="E12" s="345">
        <f t="shared" si="1"/>
        <v>4.4574724073016704E-5</v>
      </c>
      <c r="G12" s="357"/>
      <c r="H12" s="358"/>
      <c r="I12" s="359"/>
    </row>
    <row r="13" spans="2:9" x14ac:dyDescent="0.25">
      <c r="B13" s="366">
        <v>275.14999999999998</v>
      </c>
      <c r="C13" s="367">
        <v>3.1326417000000002</v>
      </c>
      <c r="D13" s="367">
        <f t="shared" si="0"/>
        <v>3.1323672856316271</v>
      </c>
      <c r="E13" s="368">
        <f t="shared" si="1"/>
        <v>8.759838968275717E-5</v>
      </c>
      <c r="G13" s="360"/>
      <c r="H13" s="361"/>
      <c r="I13" s="362"/>
    </row>
    <row r="14" spans="2:9" x14ac:dyDescent="0.25">
      <c r="B14" s="344">
        <v>276.14999999999998</v>
      </c>
      <c r="C14" s="338">
        <v>3.13811397</v>
      </c>
      <c r="D14" s="338">
        <f t="shared" si="0"/>
        <v>3.1377413678110848</v>
      </c>
      <c r="E14" s="345">
        <f t="shared" si="1"/>
        <v>1.1873443491130325E-4</v>
      </c>
      <c r="G14" s="360"/>
      <c r="H14" s="361"/>
      <c r="I14" s="362"/>
    </row>
    <row r="15" spans="2:9" ht="15.75" thickBot="1" x14ac:dyDescent="0.3">
      <c r="B15" s="366">
        <v>277.14999999999998</v>
      </c>
      <c r="C15" s="367">
        <v>3.1434777899999999</v>
      </c>
      <c r="D15" s="367">
        <f t="shared" si="0"/>
        <v>3.1430387541783595</v>
      </c>
      <c r="E15" s="368">
        <f t="shared" si="1"/>
        <v>1.3966563499734442E-4</v>
      </c>
      <c r="G15" s="363"/>
      <c r="H15" s="364"/>
      <c r="I15" s="365"/>
    </row>
    <row r="16" spans="2:9" x14ac:dyDescent="0.25">
      <c r="B16" s="344">
        <v>278.14999999999998</v>
      </c>
      <c r="C16" s="338">
        <v>3.14873907</v>
      </c>
      <c r="D16" s="338">
        <f t="shared" si="0"/>
        <v>3.148260810127725</v>
      </c>
      <c r="E16" s="345">
        <f t="shared" si="1"/>
        <v>1.5188933145705556E-4</v>
      </c>
    </row>
    <row r="17" spans="2:5" x14ac:dyDescent="0.25">
      <c r="B17" s="366">
        <v>279.14999999999998</v>
      </c>
      <c r="C17" s="367">
        <v>3.15390324</v>
      </c>
      <c r="D17" s="367">
        <f t="shared" si="0"/>
        <v>3.1534088719585482</v>
      </c>
      <c r="E17" s="368">
        <f t="shared" si="1"/>
        <v>1.5674800519617518E-4</v>
      </c>
    </row>
    <row r="18" spans="2:5" x14ac:dyDescent="0.25">
      <c r="B18" s="344">
        <v>280.14999999999998</v>
      </c>
      <c r="C18" s="338">
        <v>3.1589752799999999</v>
      </c>
      <c r="D18" s="338">
        <f t="shared" si="0"/>
        <v>3.1584842475965536</v>
      </c>
      <c r="E18" s="345">
        <f t="shared" si="1"/>
        <v>1.5544040706972224E-4</v>
      </c>
    </row>
    <row r="19" spans="2:5" x14ac:dyDescent="0.25">
      <c r="B19" s="366">
        <v>281.14999999999998</v>
      </c>
      <c r="C19" s="367">
        <v>3.1639597899999998</v>
      </c>
      <c r="D19" s="367">
        <f t="shared" si="0"/>
        <v>3.1634882172947059</v>
      </c>
      <c r="E19" s="368">
        <f t="shared" si="1"/>
        <v>1.4904510063130908E-4</v>
      </c>
    </row>
    <row r="20" spans="2:5" x14ac:dyDescent="0.25">
      <c r="B20" s="344">
        <v>282.14999999999998</v>
      </c>
      <c r="C20" s="338">
        <v>3.1688609699999999</v>
      </c>
      <c r="D20" s="338">
        <f t="shared" si="0"/>
        <v>3.1684220343143665</v>
      </c>
      <c r="E20" s="345">
        <f t="shared" si="1"/>
        <v>1.3851528665625147E-4</v>
      </c>
    </row>
    <row r="21" spans="2:5" x14ac:dyDescent="0.25">
      <c r="B21" s="366">
        <v>283.14999999999998</v>
      </c>
      <c r="C21" s="367">
        <v>3.17368271</v>
      </c>
      <c r="D21" s="367">
        <f t="shared" si="0"/>
        <v>3.1732869255873593</v>
      </c>
      <c r="E21" s="368">
        <f t="shared" si="1"/>
        <v>1.2470824868336162E-4</v>
      </c>
    </row>
    <row r="22" spans="2:5" x14ac:dyDescent="0.25">
      <c r="B22" s="344">
        <v>284.14999999999998</v>
      </c>
      <c r="C22" s="338">
        <v>3.1784285699999999</v>
      </c>
      <c r="D22" s="338">
        <f t="shared" si="0"/>
        <v>3.1780840923595104</v>
      </c>
      <c r="E22" s="345">
        <f t="shared" si="1"/>
        <v>1.0837985907278215E-4</v>
      </c>
    </row>
    <row r="23" spans="2:5" x14ac:dyDescent="0.25">
      <c r="B23" s="366">
        <v>285.14999999999998</v>
      </c>
      <c r="C23" s="367">
        <v>3.1831018699999998</v>
      </c>
      <c r="D23" s="367">
        <f t="shared" si="0"/>
        <v>3.1828147108162814</v>
      </c>
      <c r="E23" s="368">
        <f t="shared" si="1"/>
        <v>9.0213632942371134E-5</v>
      </c>
    </row>
    <row r="24" spans="2:5" x14ac:dyDescent="0.25">
      <c r="B24" s="344">
        <v>286.14999999999998</v>
      </c>
      <c r="C24" s="338">
        <v>3.1877056399999999</v>
      </c>
      <c r="D24" s="338">
        <f t="shared" si="0"/>
        <v>3.187479932691029</v>
      </c>
      <c r="E24" s="345">
        <f t="shared" si="1"/>
        <v>7.0805568161202097E-5</v>
      </c>
    </row>
    <row r="25" spans="2:5" x14ac:dyDescent="0.25">
      <c r="B25" s="366">
        <v>287.14999999999998</v>
      </c>
      <c r="C25" s="367">
        <v>3.1922427099999999</v>
      </c>
      <c r="D25" s="367">
        <f t="shared" si="0"/>
        <v>3.192080885856448</v>
      </c>
      <c r="E25" s="368">
        <f t="shared" si="1"/>
        <v>5.0692932290203338E-5</v>
      </c>
    </row>
    <row r="26" spans="2:5" x14ac:dyDescent="0.25">
      <c r="B26" s="344">
        <v>288.14999999999998</v>
      </c>
      <c r="C26" s="338">
        <v>3.1967156999999999</v>
      </c>
      <c r="D26" s="338">
        <f t="shared" si="0"/>
        <v>3.1966186748997072</v>
      </c>
      <c r="E26" s="345">
        <f t="shared" si="1"/>
        <v>3.0351494908585994E-5</v>
      </c>
    </row>
    <row r="27" spans="2:5" x14ac:dyDescent="0.25">
      <c r="B27" s="366">
        <v>289.14999999999998</v>
      </c>
      <c r="C27" s="367">
        <v>3.2011270299999999</v>
      </c>
      <c r="D27" s="367">
        <f t="shared" si="0"/>
        <v>3.2010943816817856</v>
      </c>
      <c r="E27" s="368">
        <f t="shared" si="1"/>
        <v>1.0199007383426685E-5</v>
      </c>
    </row>
    <row r="28" spans="2:5" x14ac:dyDescent="0.25">
      <c r="B28" s="344">
        <v>290.14999999999998</v>
      </c>
      <c r="C28" s="338">
        <v>3.2054789700000001</v>
      </c>
      <c r="D28" s="338">
        <f t="shared" si="0"/>
        <v>3.2055090658815142</v>
      </c>
      <c r="E28" s="345">
        <f t="shared" si="1"/>
        <v>9.3888875252974098E-6</v>
      </c>
    </row>
    <row r="29" spans="2:5" x14ac:dyDescent="0.25">
      <c r="B29" s="366">
        <v>291.14999999999998</v>
      </c>
      <c r="C29" s="367">
        <v>3.2097736100000001</v>
      </c>
      <c r="D29" s="367">
        <f t="shared" si="0"/>
        <v>3.2098637655247511</v>
      </c>
      <c r="E29" s="368">
        <f t="shared" si="1"/>
        <v>2.8087814190422321E-5</v>
      </c>
    </row>
    <row r="30" spans="2:5" x14ac:dyDescent="0.25">
      <c r="B30" s="344">
        <v>292.14999999999998</v>
      </c>
      <c r="C30" s="338">
        <v>3.2140129200000001</v>
      </c>
      <c r="D30" s="338">
        <f t="shared" si="0"/>
        <v>3.2141594974991929</v>
      </c>
      <c r="E30" s="345">
        <f t="shared" si="1"/>
        <v>4.5605759168164857E-5</v>
      </c>
    </row>
    <row r="31" spans="2:5" x14ac:dyDescent="0.25">
      <c r="B31" s="366">
        <v>293.14999999999998</v>
      </c>
      <c r="C31" s="367">
        <v>3.2181987400000001</v>
      </c>
      <c r="D31" s="367">
        <f t="shared" si="0"/>
        <v>3.2183972580552211</v>
      </c>
      <c r="E31" s="368">
        <f t="shared" si="1"/>
        <v>6.1686076982643505E-5</v>
      </c>
    </row>
    <row r="32" spans="2:5" x14ac:dyDescent="0.25">
      <c r="B32" s="344">
        <v>294.14999999999998</v>
      </c>
      <c r="C32" s="338">
        <v>3.2223327899999998</v>
      </c>
      <c r="D32" s="338">
        <f t="shared" si="0"/>
        <v>3.2225780232932384</v>
      </c>
      <c r="E32" s="345">
        <f t="shared" si="1"/>
        <v>7.6104272656008301E-5</v>
      </c>
    </row>
    <row r="33" spans="2:5" x14ac:dyDescent="0.25">
      <c r="B33" s="366">
        <v>295.14999999999998</v>
      </c>
      <c r="C33" s="367">
        <v>3.2264167000000001</v>
      </c>
      <c r="D33" s="367">
        <f t="shared" si="0"/>
        <v>3.2267027496378815</v>
      </c>
      <c r="E33" s="368">
        <f t="shared" si="1"/>
        <v>8.8658615572306348E-5</v>
      </c>
    </row>
    <row r="34" spans="2:5" x14ac:dyDescent="0.25">
      <c r="B34" s="344">
        <v>296.14999999999998</v>
      </c>
      <c r="C34" s="338">
        <v>3.2304519799999998</v>
      </c>
      <c r="D34" s="338">
        <f t="shared" si="0"/>
        <v>3.2307723742995171</v>
      </c>
      <c r="E34" s="345">
        <f t="shared" si="1"/>
        <v>9.9179403223123287E-5</v>
      </c>
    </row>
    <row r="35" spans="2:5" x14ac:dyDescent="0.25">
      <c r="B35" s="366">
        <v>297.14999999999998</v>
      </c>
      <c r="C35" s="367">
        <v>3.2344400900000001</v>
      </c>
      <c r="D35" s="367">
        <f t="shared" si="0"/>
        <v>3.2347878157233994</v>
      </c>
      <c r="E35" s="368">
        <f t="shared" si="1"/>
        <v>1.0750723888017673E-4</v>
      </c>
    </row>
    <row r="36" spans="2:5" x14ac:dyDescent="0.25">
      <c r="B36" s="344">
        <v>298.14999999999998</v>
      </c>
      <c r="C36" s="338">
        <v>3.2383823999999999</v>
      </c>
      <c r="D36" s="338">
        <f t="shared" si="0"/>
        <v>3.2387499740268733</v>
      </c>
      <c r="E36" s="345">
        <f t="shared" si="1"/>
        <v>1.1350544236942927E-4</v>
      </c>
    </row>
    <row r="37" spans="2:5" x14ac:dyDescent="0.25">
      <c r="B37" s="366">
        <v>299.14999999999998</v>
      </c>
      <c r="C37" s="367">
        <v>3.2422801899999998</v>
      </c>
      <c r="D37" s="367">
        <f t="shared" si="0"/>
        <v>3.2426597314249488</v>
      </c>
      <c r="E37" s="368">
        <f t="shared" si="1"/>
        <v>1.1706003266454393E-4</v>
      </c>
    </row>
    <row r="38" spans="2:5" x14ac:dyDescent="0.25">
      <c r="B38" s="344">
        <v>300.14999999999998</v>
      </c>
      <c r="C38" s="338">
        <v>3.2461346999999998</v>
      </c>
      <c r="D38" s="338">
        <f t="shared" si="0"/>
        <v>3.2465179526446368</v>
      </c>
      <c r="E38" s="345">
        <f t="shared" si="1"/>
        <v>1.1806430726273037E-4</v>
      </c>
    </row>
    <row r="39" spans="2:5" x14ac:dyDescent="0.25">
      <c r="B39" s="366">
        <v>301.14999999999998</v>
      </c>
      <c r="C39" s="367">
        <v>3.2499471099999999</v>
      </c>
      <c r="D39" s="367">
        <f t="shared" si="0"/>
        <v>3.2503254853283297</v>
      </c>
      <c r="E39" s="368">
        <f t="shared" si="1"/>
        <v>1.1642507263133234E-4</v>
      </c>
    </row>
    <row r="40" spans="2:5" x14ac:dyDescent="0.25">
      <c r="B40" s="344">
        <v>302.14999999999998</v>
      </c>
      <c r="C40" s="338">
        <v>3.2537185399999999</v>
      </c>
      <c r="D40" s="338">
        <f t="shared" si="0"/>
        <v>3.2540831604266023</v>
      </c>
      <c r="E40" s="345">
        <f t="shared" si="1"/>
        <v>1.1206268216498737E-4</v>
      </c>
    </row>
    <row r="41" spans="2:5" x14ac:dyDescent="0.25">
      <c r="B41" s="366">
        <v>303.14999999999998</v>
      </c>
      <c r="C41" s="367">
        <v>3.2574500799999999</v>
      </c>
      <c r="D41" s="367">
        <f t="shared" si="0"/>
        <v>3.2577917925807016</v>
      </c>
      <c r="E41" s="368">
        <f t="shared" si="1"/>
        <v>1.0490186259483767E-4</v>
      </c>
    </row>
    <row r="42" spans="2:5" x14ac:dyDescent="0.25">
      <c r="B42" s="344">
        <v>304.14999999999998</v>
      </c>
      <c r="C42" s="338">
        <v>3.2611427800000001</v>
      </c>
      <c r="D42" s="338">
        <f t="shared" si="0"/>
        <v>3.2614521804950622</v>
      </c>
      <c r="E42" s="345">
        <f t="shared" si="1"/>
        <v>9.4874869312565834E-5</v>
      </c>
    </row>
    <row r="43" spans="2:5" x14ac:dyDescent="0.25">
      <c r="B43" s="366">
        <v>305.14999999999998</v>
      </c>
      <c r="C43" s="367">
        <v>3.26479761</v>
      </c>
      <c r="D43" s="367">
        <f t="shared" si="0"/>
        <v>3.2650651073001051</v>
      </c>
      <c r="E43" s="368">
        <f t="shared" si="1"/>
        <v>8.1933807867836826E-5</v>
      </c>
    </row>
    <row r="44" spans="2:5" x14ac:dyDescent="0.25">
      <c r="B44" s="344">
        <v>306.14999999999998</v>
      </c>
      <c r="C44" s="338">
        <v>3.2684155700000002</v>
      </c>
      <c r="D44" s="338">
        <f t="shared" si="0"/>
        <v>3.2686313409056478</v>
      </c>
      <c r="E44" s="345">
        <f t="shared" si="1"/>
        <v>6.6016973982172176E-5</v>
      </c>
    </row>
    <row r="45" spans="2:5" x14ac:dyDescent="0.25">
      <c r="B45" s="366">
        <v>307.14999999999998</v>
      </c>
      <c r="C45" s="367">
        <v>3.2719975699999999</v>
      </c>
      <c r="D45" s="367">
        <f t="shared" si="0"/>
        <v>3.2721516343451476</v>
      </c>
      <c r="E45" s="368">
        <f t="shared" si="1"/>
        <v>4.7085715026262077E-5</v>
      </c>
    </row>
    <row r="46" spans="2:5" x14ac:dyDescent="0.25">
      <c r="B46" s="344">
        <v>308.14999999999998</v>
      </c>
      <c r="C46" s="338">
        <v>3.2755445299999999</v>
      </c>
      <c r="D46" s="338">
        <f t="shared" si="0"/>
        <v>3.2756267261110894</v>
      </c>
      <c r="E46" s="345">
        <f t="shared" si="1"/>
        <v>2.5093876861294056E-5</v>
      </c>
    </row>
    <row r="47" spans="2:5" x14ac:dyDescent="0.25">
      <c r="B47" s="366">
        <v>309.14999999999998</v>
      </c>
      <c r="C47" s="367">
        <v>3.27905734</v>
      </c>
      <c r="D47" s="367">
        <f t="shared" si="0"/>
        <v>3.2790573404817556</v>
      </c>
      <c r="E47" s="368">
        <f t="shared" si="1"/>
        <v>1.4691890821339384E-10</v>
      </c>
    </row>
    <row r="48" spans="2:5" x14ac:dyDescent="0.25">
      <c r="B48" s="344">
        <v>310.14999999999998</v>
      </c>
      <c r="C48" s="338">
        <v>3.2825368500000001</v>
      </c>
      <c r="D48" s="338">
        <f t="shared" si="0"/>
        <v>3.2824441878396069</v>
      </c>
      <c r="E48" s="345">
        <f t="shared" si="1"/>
        <v>2.822882563928089E-5</v>
      </c>
    </row>
    <row r="49" spans="2:5" x14ac:dyDescent="0.25">
      <c r="B49" s="366">
        <v>311.14999999999998</v>
      </c>
      <c r="C49" s="367">
        <v>3.2859838899999998</v>
      </c>
      <c r="D49" s="367">
        <f t="shared" si="0"/>
        <v>3.285787964981556</v>
      </c>
      <c r="E49" s="368">
        <f t="shared" si="1"/>
        <v>5.9624461044995493E-5</v>
      </c>
    </row>
    <row r="50" spans="2:5" x14ac:dyDescent="0.25">
      <c r="B50" s="344">
        <v>312.14999999999998</v>
      </c>
      <c r="C50" s="338">
        <v>3.2893992999999999</v>
      </c>
      <c r="D50" s="338">
        <f t="shared" si="0"/>
        <v>3.289089355421337</v>
      </c>
      <c r="E50" s="345">
        <f t="shared" si="1"/>
        <v>9.4225282611009654E-5</v>
      </c>
    </row>
    <row r="51" spans="2:5" x14ac:dyDescent="0.25">
      <c r="B51" s="366">
        <v>313.14999999999998</v>
      </c>
      <c r="C51" s="367">
        <v>3.2927838600000001</v>
      </c>
      <c r="D51" s="367">
        <f t="shared" si="0"/>
        <v>3.2923490296841984</v>
      </c>
      <c r="E51" s="368">
        <f t="shared" si="1"/>
        <v>1.3205552939077976E-4</v>
      </c>
    </row>
    <row r="52" spans="2:5" x14ac:dyDescent="0.25">
      <c r="B52" s="344">
        <v>314.14999999999998</v>
      </c>
      <c r="C52" s="338">
        <v>3.2961383799999999</v>
      </c>
      <c r="D52" s="338">
        <f t="shared" si="0"/>
        <v>3.2955676455941529</v>
      </c>
      <c r="E52" s="345">
        <f t="shared" si="1"/>
        <v>1.7315244084108638E-4</v>
      </c>
    </row>
    <row r="53" spans="2:5" x14ac:dyDescent="0.25">
      <c r="B53" s="366">
        <v>315.14999999999998</v>
      </c>
      <c r="C53" s="367">
        <v>3.2994636000000002</v>
      </c>
      <c r="D53" s="367">
        <f t="shared" si="0"/>
        <v>3.2987458485539776</v>
      </c>
      <c r="E53" s="368">
        <f t="shared" si="1"/>
        <v>2.175357976437735E-4</v>
      </c>
    </row>
    <row r="54" spans="2:5" x14ac:dyDescent="0.25">
      <c r="B54" s="344">
        <v>316.14999999999998</v>
      </c>
      <c r="C54" s="338">
        <v>3.3027603000000001</v>
      </c>
      <c r="D54" s="338">
        <f t="shared" si="0"/>
        <v>3.3018842718181847</v>
      </c>
      <c r="E54" s="345">
        <f t="shared" si="1"/>
        <v>2.6524122317184953E-4</v>
      </c>
    </row>
    <row r="55" spans="2:5" x14ac:dyDescent="0.25">
      <c r="B55" s="366">
        <v>317.14999999999998</v>
      </c>
      <c r="C55" s="367">
        <v>3.3060292200000001</v>
      </c>
      <c r="D55" s="367">
        <f t="shared" si="0"/>
        <v>3.3049835367591527</v>
      </c>
      <c r="E55" s="368">
        <f t="shared" si="1"/>
        <v>3.1629582537307915E-4</v>
      </c>
    </row>
    <row r="56" spans="2:5" ht="15.75" thickBot="1" x14ac:dyDescent="0.3">
      <c r="B56" s="346">
        <v>318.14999999999998</v>
      </c>
      <c r="C56" s="347">
        <v>3.3092710900000002</v>
      </c>
      <c r="D56" s="347">
        <f t="shared" si="0"/>
        <v>3.3080442531266101</v>
      </c>
      <c r="E56" s="348">
        <f t="shared" si="1"/>
        <v>3.7072722059469941E-4</v>
      </c>
    </row>
  </sheetData>
  <mergeCells count="4">
    <mergeCell ref="B4:B5"/>
    <mergeCell ref="E4:E5"/>
    <mergeCell ref="B2:I2"/>
    <mergeCell ref="G4:H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5DE86-F674-4700-AE30-437981B194DE}">
  <sheetPr codeName="Hoja2"/>
  <dimension ref="B2:T68"/>
  <sheetViews>
    <sheetView showGridLines="0" zoomScaleNormal="100" workbookViewId="0"/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3" width="31.140625" style="2" customWidth="1"/>
    <col min="4" max="18" width="11.42578125" style="1"/>
    <col min="19" max="19" width="13.140625" style="1" bestFit="1" customWidth="1"/>
    <col min="20" max="20" width="11.42578125" style="1"/>
    <col min="21" max="22" width="12.42578125" style="1" bestFit="1" customWidth="1"/>
    <col min="23" max="16384" width="11.42578125" style="1"/>
  </cols>
  <sheetData>
    <row r="2" spans="2:20" ht="18.75" thickBot="1" x14ac:dyDescent="0.3">
      <c r="B2" s="1005" t="s">
        <v>504</v>
      </c>
      <c r="C2" s="1005"/>
      <c r="D2" s="1005"/>
      <c r="E2" s="1005"/>
      <c r="F2" s="1005"/>
      <c r="G2" s="1005"/>
      <c r="H2" s="1005"/>
      <c r="I2" s="1005"/>
      <c r="J2" s="1005"/>
      <c r="K2" s="1005"/>
      <c r="L2" s="1005"/>
      <c r="M2" s="1005"/>
      <c r="N2" s="1005"/>
      <c r="O2" s="1005"/>
      <c r="P2" s="1005"/>
    </row>
    <row r="3" spans="2:20" ht="15.75" thickBot="1" x14ac:dyDescent="0.3"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</row>
    <row r="4" spans="2:20" ht="17.25" thickBot="1" x14ac:dyDescent="0.35">
      <c r="B4" s="48" t="s">
        <v>505</v>
      </c>
      <c r="C4" s="49" t="s">
        <v>506</v>
      </c>
      <c r="D4" s="49" t="s">
        <v>507</v>
      </c>
      <c r="E4" s="49" t="s">
        <v>508</v>
      </c>
      <c r="F4" s="49" t="s">
        <v>509</v>
      </c>
      <c r="G4" s="49" t="s">
        <v>510</v>
      </c>
      <c r="H4" s="49" t="s">
        <v>511</v>
      </c>
      <c r="I4" s="49" t="s">
        <v>512</v>
      </c>
      <c r="J4" s="49" t="s">
        <v>513</v>
      </c>
      <c r="K4" s="49" t="s">
        <v>514</v>
      </c>
      <c r="L4" s="49" t="s">
        <v>515</v>
      </c>
      <c r="M4" s="50" t="s">
        <v>516</v>
      </c>
      <c r="N4" s="50" t="s">
        <v>517</v>
      </c>
      <c r="O4" s="49" t="s">
        <v>518</v>
      </c>
      <c r="P4" s="51" t="s">
        <v>519</v>
      </c>
    </row>
    <row r="5" spans="2:20" x14ac:dyDescent="0.25">
      <c r="B5" s="41">
        <v>1</v>
      </c>
      <c r="C5" s="42">
        <v>0.38856823203161001</v>
      </c>
      <c r="D5" s="43">
        <v>0</v>
      </c>
      <c r="E5" s="44"/>
      <c r="F5" s="45"/>
      <c r="G5" s="45"/>
      <c r="H5" s="46">
        <v>1</v>
      </c>
      <c r="I5" s="45"/>
      <c r="J5" s="45"/>
      <c r="K5" s="45"/>
      <c r="L5" s="45"/>
      <c r="M5" s="45"/>
      <c r="N5" s="45"/>
      <c r="O5" s="45"/>
      <c r="P5" s="47"/>
    </row>
    <row r="6" spans="2:20" x14ac:dyDescent="0.25">
      <c r="B6" s="17">
        <v>2</v>
      </c>
      <c r="C6" s="4">
        <v>2.938547594274</v>
      </c>
      <c r="D6" s="5">
        <v>0.75</v>
      </c>
      <c r="E6" s="6"/>
      <c r="F6" s="7"/>
      <c r="G6" s="7"/>
      <c r="H6" s="3">
        <v>1</v>
      </c>
      <c r="I6" s="7"/>
      <c r="J6" s="7"/>
      <c r="K6" s="7"/>
      <c r="L6" s="7"/>
      <c r="M6" s="7"/>
      <c r="N6" s="7"/>
      <c r="O6" s="7"/>
      <c r="P6" s="18"/>
    </row>
    <row r="7" spans="2:20" x14ac:dyDescent="0.25">
      <c r="B7" s="15">
        <v>3</v>
      </c>
      <c r="C7" s="10">
        <v>-5.5867188534933998</v>
      </c>
      <c r="D7" s="11">
        <v>1</v>
      </c>
      <c r="E7" s="12"/>
      <c r="F7" s="13"/>
      <c r="G7" s="13"/>
      <c r="H7" s="9">
        <v>1</v>
      </c>
      <c r="I7" s="13"/>
      <c r="J7" s="13"/>
      <c r="K7" s="13"/>
      <c r="L7" s="13"/>
      <c r="M7" s="13"/>
      <c r="N7" s="13"/>
      <c r="O7" s="13"/>
      <c r="P7" s="16"/>
    </row>
    <row r="8" spans="2:20" x14ac:dyDescent="0.25">
      <c r="B8" s="17">
        <v>4</v>
      </c>
      <c r="C8" s="4">
        <v>-0.76753199592476995</v>
      </c>
      <c r="D8" s="5">
        <v>2</v>
      </c>
      <c r="E8" s="7"/>
      <c r="F8" s="7"/>
      <c r="G8" s="7"/>
      <c r="H8" s="3">
        <v>1</v>
      </c>
      <c r="I8" s="7"/>
      <c r="J8" s="7"/>
      <c r="K8" s="7"/>
      <c r="L8" s="7"/>
      <c r="M8" s="7"/>
      <c r="N8" s="7"/>
      <c r="O8" s="7"/>
      <c r="P8" s="18"/>
    </row>
    <row r="9" spans="2:20" x14ac:dyDescent="0.25">
      <c r="B9" s="15">
        <v>5</v>
      </c>
      <c r="C9" s="10">
        <v>0.31729005580415998</v>
      </c>
      <c r="D9" s="11">
        <v>0.75</v>
      </c>
      <c r="E9" s="13"/>
      <c r="F9" s="13"/>
      <c r="G9" s="13"/>
      <c r="H9" s="9">
        <v>2</v>
      </c>
      <c r="I9" s="13"/>
      <c r="J9" s="13"/>
      <c r="K9" s="13"/>
      <c r="L9" s="13"/>
      <c r="M9" s="13"/>
      <c r="N9" s="13"/>
      <c r="O9" s="13"/>
      <c r="P9" s="16"/>
    </row>
    <row r="10" spans="2:20" x14ac:dyDescent="0.25">
      <c r="B10" s="17">
        <v>6</v>
      </c>
      <c r="C10" s="4">
        <v>0.54803315897767002</v>
      </c>
      <c r="D10" s="5">
        <v>2</v>
      </c>
      <c r="E10" s="7"/>
      <c r="F10" s="7"/>
      <c r="G10" s="7"/>
      <c r="H10" s="3">
        <v>2</v>
      </c>
      <c r="I10" s="7"/>
      <c r="J10" s="7"/>
      <c r="K10" s="7"/>
      <c r="L10" s="7"/>
      <c r="M10" s="7"/>
      <c r="N10" s="7"/>
      <c r="O10" s="7"/>
      <c r="P10" s="18"/>
    </row>
    <row r="11" spans="2:20" x14ac:dyDescent="0.25">
      <c r="B11" s="15">
        <v>7</v>
      </c>
      <c r="C11" s="10">
        <v>0.12279411220335</v>
      </c>
      <c r="D11" s="11">
        <v>0.75</v>
      </c>
      <c r="E11" s="13"/>
      <c r="F11" s="13"/>
      <c r="G11" s="13"/>
      <c r="H11" s="9">
        <v>3</v>
      </c>
      <c r="I11" s="13"/>
      <c r="J11" s="13"/>
      <c r="K11" s="13"/>
      <c r="L11" s="13"/>
      <c r="M11" s="13"/>
      <c r="N11" s="13"/>
      <c r="O11" s="13"/>
      <c r="P11" s="16"/>
    </row>
    <row r="12" spans="2:20" x14ac:dyDescent="0.25">
      <c r="B12" s="17">
        <v>8</v>
      </c>
      <c r="C12" s="4">
        <v>2.1658961543220001</v>
      </c>
      <c r="D12" s="5">
        <v>1.5</v>
      </c>
      <c r="E12" s="7"/>
      <c r="F12" s="7"/>
      <c r="G12" s="7">
        <v>1</v>
      </c>
      <c r="H12" s="3">
        <v>1</v>
      </c>
      <c r="I12" s="7"/>
      <c r="J12" s="7"/>
      <c r="K12" s="7"/>
      <c r="L12" s="7"/>
      <c r="M12" s="7"/>
      <c r="N12" s="7"/>
      <c r="O12" s="7"/>
      <c r="P12" s="18"/>
    </row>
    <row r="13" spans="2:20" x14ac:dyDescent="0.25">
      <c r="B13" s="15">
        <v>9</v>
      </c>
      <c r="C13" s="10">
        <v>1.5841735109724</v>
      </c>
      <c r="D13" s="11">
        <v>1.5</v>
      </c>
      <c r="E13" s="13"/>
      <c r="F13" s="13"/>
      <c r="G13" s="13">
        <v>1</v>
      </c>
      <c r="H13" s="9">
        <v>2</v>
      </c>
      <c r="I13" s="13"/>
      <c r="J13" s="13"/>
      <c r="K13" s="13"/>
      <c r="L13" s="13"/>
      <c r="M13" s="13"/>
      <c r="N13" s="13"/>
      <c r="O13" s="13"/>
      <c r="P13" s="16"/>
    </row>
    <row r="14" spans="2:20" x14ac:dyDescent="0.25">
      <c r="B14" s="17">
        <v>10</v>
      </c>
      <c r="C14" s="4">
        <v>-0.23132705405503001</v>
      </c>
      <c r="D14" s="5">
        <v>2.5</v>
      </c>
      <c r="E14" s="7"/>
      <c r="F14" s="7"/>
      <c r="G14" s="7">
        <v>1</v>
      </c>
      <c r="H14" s="3">
        <v>4</v>
      </c>
      <c r="I14" s="7"/>
      <c r="J14" s="7"/>
      <c r="K14" s="7"/>
      <c r="L14" s="7"/>
      <c r="M14" s="7"/>
      <c r="N14" s="7"/>
      <c r="O14" s="7"/>
      <c r="P14" s="18"/>
    </row>
    <row r="15" spans="2:20" x14ac:dyDescent="0.25">
      <c r="B15" s="15">
        <v>11</v>
      </c>
      <c r="C15" s="10">
        <v>5.8116916431436003E-2</v>
      </c>
      <c r="D15" s="11">
        <v>0</v>
      </c>
      <c r="E15" s="13"/>
      <c r="F15" s="13"/>
      <c r="G15" s="13">
        <v>1</v>
      </c>
      <c r="H15" s="9">
        <v>5</v>
      </c>
      <c r="I15" s="13"/>
      <c r="J15" s="13"/>
      <c r="K15" s="13"/>
      <c r="L15" s="13"/>
      <c r="M15" s="13"/>
      <c r="N15" s="13"/>
      <c r="O15" s="13"/>
      <c r="P15" s="16"/>
      <c r="S15" s="67"/>
    </row>
    <row r="16" spans="2:20" x14ac:dyDescent="0.25">
      <c r="B16" s="17">
        <v>12</v>
      </c>
      <c r="C16" s="4">
        <v>-0.55369137205382002</v>
      </c>
      <c r="D16" s="5">
        <v>1.5</v>
      </c>
      <c r="E16" s="7"/>
      <c r="F16" s="7"/>
      <c r="G16" s="7">
        <v>1</v>
      </c>
      <c r="H16" s="3">
        <v>5</v>
      </c>
      <c r="I16" s="7"/>
      <c r="J16" s="7"/>
      <c r="K16" s="7"/>
      <c r="L16" s="7"/>
      <c r="M16" s="7"/>
      <c r="N16" s="7"/>
      <c r="O16" s="7"/>
      <c r="P16" s="18"/>
      <c r="T16" s="68"/>
    </row>
    <row r="17" spans="2:20" x14ac:dyDescent="0.25">
      <c r="B17" s="15">
        <v>13</v>
      </c>
      <c r="C17" s="10">
        <v>0.48946615909421998</v>
      </c>
      <c r="D17" s="11">
        <v>2</v>
      </c>
      <c r="E17" s="13"/>
      <c r="F17" s="13"/>
      <c r="G17" s="13">
        <v>1</v>
      </c>
      <c r="H17" s="9">
        <v>5</v>
      </c>
      <c r="I17" s="13"/>
      <c r="J17" s="13"/>
      <c r="K17" s="13"/>
      <c r="L17" s="13"/>
      <c r="M17" s="13"/>
      <c r="N17" s="13"/>
      <c r="O17" s="13"/>
      <c r="P17" s="16"/>
      <c r="T17" s="68"/>
    </row>
    <row r="18" spans="2:20" x14ac:dyDescent="0.25">
      <c r="B18" s="17">
        <v>14</v>
      </c>
      <c r="C18" s="4">
        <v>-2.4275739843500999E-2</v>
      </c>
      <c r="D18" s="5">
        <v>0</v>
      </c>
      <c r="E18" s="7"/>
      <c r="F18" s="7"/>
      <c r="G18" s="7">
        <v>1</v>
      </c>
      <c r="H18" s="3">
        <v>6</v>
      </c>
      <c r="I18" s="7"/>
      <c r="J18" s="7"/>
      <c r="K18" s="7"/>
      <c r="L18" s="7"/>
      <c r="M18" s="7"/>
      <c r="N18" s="7"/>
      <c r="O18" s="7"/>
      <c r="P18" s="18"/>
      <c r="T18" s="68"/>
    </row>
    <row r="19" spans="2:20" x14ac:dyDescent="0.25">
      <c r="B19" s="15">
        <v>15</v>
      </c>
      <c r="C19" s="10">
        <v>6.2494790501677999E-2</v>
      </c>
      <c r="D19" s="11">
        <v>1</v>
      </c>
      <c r="E19" s="13"/>
      <c r="F19" s="13"/>
      <c r="G19" s="13">
        <v>1</v>
      </c>
      <c r="H19" s="9">
        <v>6</v>
      </c>
      <c r="I19" s="13"/>
      <c r="J19" s="13"/>
      <c r="K19" s="13"/>
      <c r="L19" s="13"/>
      <c r="M19" s="13"/>
      <c r="N19" s="13"/>
      <c r="O19" s="13"/>
      <c r="P19" s="16"/>
      <c r="T19" s="68"/>
    </row>
    <row r="20" spans="2:20" x14ac:dyDescent="0.25">
      <c r="B20" s="17">
        <v>16</v>
      </c>
      <c r="C20" s="4">
        <v>-0.12175860225246</v>
      </c>
      <c r="D20" s="5">
        <v>2</v>
      </c>
      <c r="E20" s="7"/>
      <c r="F20" s="7"/>
      <c r="G20" s="7">
        <v>1</v>
      </c>
      <c r="H20" s="3">
        <v>6</v>
      </c>
      <c r="I20" s="7"/>
      <c r="J20" s="7"/>
      <c r="K20" s="7"/>
      <c r="L20" s="7"/>
      <c r="M20" s="7"/>
      <c r="N20" s="7"/>
      <c r="O20" s="7"/>
      <c r="P20" s="18"/>
      <c r="T20" s="68"/>
    </row>
    <row r="21" spans="2:20" x14ac:dyDescent="0.25">
      <c r="B21" s="15">
        <v>17</v>
      </c>
      <c r="C21" s="10">
        <v>-0.37055685270085997</v>
      </c>
      <c r="D21" s="11">
        <v>3</v>
      </c>
      <c r="E21" s="13"/>
      <c r="F21" s="13"/>
      <c r="G21" s="13">
        <v>2</v>
      </c>
      <c r="H21" s="9">
        <v>1</v>
      </c>
      <c r="I21" s="13"/>
      <c r="J21" s="13"/>
      <c r="K21" s="13"/>
      <c r="L21" s="13"/>
      <c r="M21" s="13"/>
      <c r="N21" s="13"/>
      <c r="O21" s="13"/>
      <c r="P21" s="16"/>
      <c r="T21" s="68"/>
    </row>
    <row r="22" spans="2:20" x14ac:dyDescent="0.25">
      <c r="B22" s="17">
        <v>18</v>
      </c>
      <c r="C22" s="4">
        <v>-1.6775879700425999E-2</v>
      </c>
      <c r="D22" s="5">
        <v>6</v>
      </c>
      <c r="E22" s="7"/>
      <c r="F22" s="7"/>
      <c r="G22" s="7">
        <v>2</v>
      </c>
      <c r="H22" s="3">
        <v>1</v>
      </c>
      <c r="I22" s="7"/>
      <c r="J22" s="7"/>
      <c r="K22" s="7"/>
      <c r="L22" s="7"/>
      <c r="M22" s="7"/>
      <c r="N22" s="7"/>
      <c r="O22" s="7"/>
      <c r="P22" s="18"/>
    </row>
    <row r="23" spans="2:20" x14ac:dyDescent="0.25">
      <c r="B23" s="15">
        <v>19</v>
      </c>
      <c r="C23" s="10">
        <v>-0.11960736637987</v>
      </c>
      <c r="D23" s="11">
        <v>3</v>
      </c>
      <c r="E23" s="13"/>
      <c r="F23" s="13"/>
      <c r="G23" s="13">
        <v>2</v>
      </c>
      <c r="H23" s="9">
        <v>4</v>
      </c>
      <c r="I23" s="13"/>
      <c r="J23" s="13"/>
      <c r="K23" s="13"/>
      <c r="L23" s="13"/>
      <c r="M23" s="13"/>
      <c r="N23" s="13"/>
      <c r="O23" s="13"/>
      <c r="P23" s="16"/>
    </row>
    <row r="24" spans="2:20" x14ac:dyDescent="0.25">
      <c r="B24" s="17">
        <v>20</v>
      </c>
      <c r="C24" s="4">
        <v>-4.5619362508778002E-2</v>
      </c>
      <c r="D24" s="5">
        <v>6</v>
      </c>
      <c r="E24" s="7"/>
      <c r="F24" s="7"/>
      <c r="G24" s="7">
        <v>2</v>
      </c>
      <c r="H24" s="3">
        <v>4</v>
      </c>
      <c r="I24" s="7"/>
      <c r="J24" s="7"/>
      <c r="K24" s="7"/>
      <c r="L24" s="7"/>
      <c r="M24" s="7"/>
      <c r="N24" s="7"/>
      <c r="O24" s="7"/>
      <c r="P24" s="18"/>
    </row>
    <row r="25" spans="2:20" x14ac:dyDescent="0.25">
      <c r="B25" s="15">
        <v>21</v>
      </c>
      <c r="C25" s="10">
        <v>3.5612789270346001E-2</v>
      </c>
      <c r="D25" s="11">
        <v>8</v>
      </c>
      <c r="E25" s="13"/>
      <c r="F25" s="13"/>
      <c r="G25" s="13">
        <v>2</v>
      </c>
      <c r="H25" s="9">
        <v>4</v>
      </c>
      <c r="I25" s="13"/>
      <c r="J25" s="13"/>
      <c r="K25" s="13"/>
      <c r="L25" s="13"/>
      <c r="M25" s="13"/>
      <c r="N25" s="13"/>
      <c r="O25" s="13"/>
      <c r="P25" s="16"/>
    </row>
    <row r="26" spans="2:20" x14ac:dyDescent="0.25">
      <c r="B26" s="17">
        <v>22</v>
      </c>
      <c r="C26" s="4">
        <v>-7.4427727132052E-3</v>
      </c>
      <c r="D26" s="5">
        <v>6</v>
      </c>
      <c r="E26" s="7"/>
      <c r="F26" s="7"/>
      <c r="G26" s="7">
        <v>2</v>
      </c>
      <c r="H26" s="3">
        <v>7</v>
      </c>
      <c r="I26" s="7"/>
      <c r="J26" s="7"/>
      <c r="K26" s="7"/>
      <c r="L26" s="7"/>
      <c r="M26" s="7"/>
      <c r="N26" s="7"/>
      <c r="O26" s="7"/>
      <c r="P26" s="18"/>
    </row>
    <row r="27" spans="2:20" x14ac:dyDescent="0.25">
      <c r="B27" s="15">
        <v>23</v>
      </c>
      <c r="C27" s="10">
        <v>-1.7395704902431999E-3</v>
      </c>
      <c r="D27" s="11">
        <v>0</v>
      </c>
      <c r="E27" s="13"/>
      <c r="F27" s="13"/>
      <c r="G27" s="13">
        <v>2</v>
      </c>
      <c r="H27" s="9">
        <v>8</v>
      </c>
      <c r="I27" s="13"/>
      <c r="J27" s="13"/>
      <c r="K27" s="13"/>
      <c r="L27" s="13"/>
      <c r="M27" s="13"/>
      <c r="N27" s="13"/>
      <c r="O27" s="13"/>
      <c r="P27" s="16"/>
    </row>
    <row r="28" spans="2:20" x14ac:dyDescent="0.25">
      <c r="B28" s="17">
        <v>24</v>
      </c>
      <c r="C28" s="4">
        <v>-2.1810121289527001E-2</v>
      </c>
      <c r="D28" s="5">
        <v>7</v>
      </c>
      <c r="E28" s="7"/>
      <c r="F28" s="7"/>
      <c r="G28" s="7">
        <v>3</v>
      </c>
      <c r="H28" s="3">
        <v>2</v>
      </c>
      <c r="I28" s="7"/>
      <c r="J28" s="7"/>
      <c r="K28" s="7"/>
      <c r="L28" s="7"/>
      <c r="M28" s="7"/>
      <c r="N28" s="7"/>
      <c r="O28" s="7"/>
      <c r="P28" s="18"/>
    </row>
    <row r="29" spans="2:20" x14ac:dyDescent="0.25">
      <c r="B29" s="15">
        <v>25</v>
      </c>
      <c r="C29" s="10">
        <v>2.4332166559236E-2</v>
      </c>
      <c r="D29" s="11">
        <v>12</v>
      </c>
      <c r="E29" s="13"/>
      <c r="F29" s="13"/>
      <c r="G29" s="13">
        <v>3</v>
      </c>
      <c r="H29" s="9">
        <v>3</v>
      </c>
      <c r="I29" s="13"/>
      <c r="J29" s="13"/>
      <c r="K29" s="13"/>
      <c r="L29" s="13"/>
      <c r="M29" s="13"/>
      <c r="N29" s="13"/>
      <c r="O29" s="13"/>
      <c r="P29" s="16"/>
    </row>
    <row r="30" spans="2:20" x14ac:dyDescent="0.25">
      <c r="B30" s="17">
        <v>26</v>
      </c>
      <c r="C30" s="4">
        <v>-3.7440133423463001E-2</v>
      </c>
      <c r="D30" s="5">
        <v>16</v>
      </c>
      <c r="E30" s="7"/>
      <c r="F30" s="7"/>
      <c r="G30" s="7">
        <v>3</v>
      </c>
      <c r="H30" s="3">
        <v>3</v>
      </c>
      <c r="I30" s="7"/>
      <c r="J30" s="7"/>
      <c r="K30" s="7"/>
      <c r="L30" s="7"/>
      <c r="M30" s="7"/>
      <c r="N30" s="7"/>
      <c r="O30" s="7"/>
      <c r="P30" s="18"/>
    </row>
    <row r="31" spans="2:20" x14ac:dyDescent="0.25">
      <c r="B31" s="15">
        <v>27</v>
      </c>
      <c r="C31" s="10">
        <v>0.14338715756878001</v>
      </c>
      <c r="D31" s="11">
        <v>22</v>
      </c>
      <c r="E31" s="13"/>
      <c r="F31" s="13"/>
      <c r="G31" s="13">
        <v>4</v>
      </c>
      <c r="H31" s="9">
        <v>5</v>
      </c>
      <c r="I31" s="13"/>
      <c r="J31" s="13"/>
      <c r="K31" s="13"/>
      <c r="L31" s="13"/>
      <c r="M31" s="13"/>
      <c r="N31" s="13"/>
      <c r="O31" s="13"/>
      <c r="P31" s="16"/>
    </row>
    <row r="32" spans="2:20" x14ac:dyDescent="0.25">
      <c r="B32" s="17">
        <v>28</v>
      </c>
      <c r="C32" s="4">
        <v>-0.13491969083286001</v>
      </c>
      <c r="D32" s="5">
        <v>24</v>
      </c>
      <c r="E32" s="7"/>
      <c r="F32" s="7"/>
      <c r="G32" s="7">
        <v>4</v>
      </c>
      <c r="H32" s="3">
        <v>5</v>
      </c>
      <c r="I32" s="7"/>
      <c r="J32" s="7"/>
      <c r="K32" s="7"/>
      <c r="L32" s="7"/>
      <c r="M32" s="7"/>
      <c r="N32" s="7"/>
      <c r="O32" s="7"/>
      <c r="P32" s="18"/>
    </row>
    <row r="33" spans="2:16" x14ac:dyDescent="0.25">
      <c r="B33" s="15">
        <v>29</v>
      </c>
      <c r="C33" s="10">
        <v>-2.3151225053479999E-2</v>
      </c>
      <c r="D33" s="11">
        <v>16</v>
      </c>
      <c r="E33" s="13"/>
      <c r="F33" s="13"/>
      <c r="G33" s="13">
        <v>4</v>
      </c>
      <c r="H33" s="9">
        <v>6</v>
      </c>
      <c r="I33" s="13"/>
      <c r="J33" s="13"/>
      <c r="K33" s="13"/>
      <c r="L33" s="13"/>
      <c r="M33" s="13"/>
      <c r="N33" s="13"/>
      <c r="O33" s="13"/>
      <c r="P33" s="16"/>
    </row>
    <row r="34" spans="2:16" x14ac:dyDescent="0.25">
      <c r="B34" s="17">
        <v>30</v>
      </c>
      <c r="C34" s="4">
        <v>1.2363125492901E-2</v>
      </c>
      <c r="D34" s="5">
        <v>24</v>
      </c>
      <c r="E34" s="7"/>
      <c r="F34" s="7"/>
      <c r="G34" s="7">
        <v>4</v>
      </c>
      <c r="H34" s="3">
        <v>7</v>
      </c>
      <c r="I34" s="7"/>
      <c r="J34" s="7"/>
      <c r="K34" s="7"/>
      <c r="L34" s="7"/>
      <c r="M34" s="7"/>
      <c r="N34" s="7"/>
      <c r="O34" s="7"/>
      <c r="P34" s="18"/>
    </row>
    <row r="35" spans="2:16" x14ac:dyDescent="0.25">
      <c r="B35" s="15">
        <v>31</v>
      </c>
      <c r="C35" s="10">
        <v>2.1058321972939999E-3</v>
      </c>
      <c r="D35" s="11">
        <v>8</v>
      </c>
      <c r="E35" s="13"/>
      <c r="F35" s="13"/>
      <c r="G35" s="13">
        <v>4</v>
      </c>
      <c r="H35" s="9">
        <v>8</v>
      </c>
      <c r="I35" s="13"/>
      <c r="J35" s="13"/>
      <c r="K35" s="13"/>
      <c r="L35" s="13"/>
      <c r="M35" s="13"/>
      <c r="N35" s="13"/>
      <c r="O35" s="13"/>
      <c r="P35" s="16"/>
    </row>
    <row r="36" spans="2:16" x14ac:dyDescent="0.25">
      <c r="B36" s="17">
        <v>32</v>
      </c>
      <c r="C36" s="4">
        <v>-3.3958519026368002E-4</v>
      </c>
      <c r="D36" s="5">
        <v>2</v>
      </c>
      <c r="E36" s="7"/>
      <c r="F36" s="7"/>
      <c r="G36" s="7">
        <v>4</v>
      </c>
      <c r="H36" s="3">
        <v>10</v>
      </c>
      <c r="I36" s="7"/>
      <c r="J36" s="7"/>
      <c r="K36" s="7"/>
      <c r="L36" s="7"/>
      <c r="M36" s="7"/>
      <c r="N36" s="7"/>
      <c r="O36" s="7"/>
      <c r="P36" s="18"/>
    </row>
    <row r="37" spans="2:16" x14ac:dyDescent="0.25">
      <c r="B37" s="15">
        <v>33</v>
      </c>
      <c r="C37" s="10">
        <v>5.5993651771591999E-3</v>
      </c>
      <c r="D37" s="11">
        <v>28</v>
      </c>
      <c r="E37" s="13"/>
      <c r="F37" s="13"/>
      <c r="G37" s="13">
        <v>5</v>
      </c>
      <c r="H37" s="9">
        <v>4</v>
      </c>
      <c r="I37" s="13"/>
      <c r="J37" s="13"/>
      <c r="K37" s="13"/>
      <c r="L37" s="13"/>
      <c r="M37" s="13"/>
      <c r="N37" s="13"/>
      <c r="O37" s="13"/>
      <c r="P37" s="16"/>
    </row>
    <row r="38" spans="2:16" x14ac:dyDescent="0.25">
      <c r="B38" s="17">
        <v>34</v>
      </c>
      <c r="C38" s="4">
        <v>-3.0335118055646002E-4</v>
      </c>
      <c r="D38" s="5">
        <v>14</v>
      </c>
      <c r="E38" s="7"/>
      <c r="F38" s="7"/>
      <c r="G38" s="7">
        <v>6</v>
      </c>
      <c r="H38" s="3">
        <v>8</v>
      </c>
      <c r="I38" s="7"/>
      <c r="J38" s="7"/>
      <c r="K38" s="7"/>
      <c r="L38" s="7"/>
      <c r="M38" s="7"/>
      <c r="N38" s="7"/>
      <c r="O38" s="7"/>
      <c r="P38" s="18"/>
    </row>
    <row r="39" spans="2:16" x14ac:dyDescent="0.25">
      <c r="B39" s="15">
        <v>35</v>
      </c>
      <c r="C39" s="10">
        <v>-213.65488688319999</v>
      </c>
      <c r="D39" s="11">
        <v>1</v>
      </c>
      <c r="E39" s="13"/>
      <c r="F39" s="13"/>
      <c r="G39" s="13"/>
      <c r="H39" s="9">
        <v>2</v>
      </c>
      <c r="I39" s="13"/>
      <c r="J39" s="13"/>
      <c r="K39" s="13"/>
      <c r="L39" s="13"/>
      <c r="M39" s="13">
        <v>25</v>
      </c>
      <c r="N39" s="13">
        <v>325</v>
      </c>
      <c r="O39" s="13">
        <v>1.1599999999999999</v>
      </c>
      <c r="P39" s="19">
        <v>1</v>
      </c>
    </row>
    <row r="40" spans="2:16" x14ac:dyDescent="0.25">
      <c r="B40" s="17">
        <v>36</v>
      </c>
      <c r="C40" s="4">
        <v>26641.569149272</v>
      </c>
      <c r="D40" s="5">
        <v>0</v>
      </c>
      <c r="E40" s="7"/>
      <c r="F40" s="7"/>
      <c r="G40" s="7"/>
      <c r="H40" s="3">
        <v>2</v>
      </c>
      <c r="I40" s="7"/>
      <c r="J40" s="7"/>
      <c r="K40" s="7"/>
      <c r="L40" s="7"/>
      <c r="M40" s="7">
        <v>25</v>
      </c>
      <c r="N40" s="7">
        <v>300</v>
      </c>
      <c r="O40" s="7">
        <v>1.19</v>
      </c>
      <c r="P40" s="20">
        <v>1</v>
      </c>
    </row>
    <row r="41" spans="2:16" x14ac:dyDescent="0.25">
      <c r="B41" s="15">
        <v>37</v>
      </c>
      <c r="C41" s="10">
        <v>-24027.212204556999</v>
      </c>
      <c r="D41" s="11">
        <v>1</v>
      </c>
      <c r="E41" s="13"/>
      <c r="F41" s="13"/>
      <c r="G41" s="13"/>
      <c r="H41" s="9">
        <v>2</v>
      </c>
      <c r="I41" s="13"/>
      <c r="J41" s="13"/>
      <c r="K41" s="13"/>
      <c r="L41" s="13"/>
      <c r="M41" s="13">
        <v>25</v>
      </c>
      <c r="N41" s="13">
        <v>300</v>
      </c>
      <c r="O41" s="13">
        <v>1.19</v>
      </c>
      <c r="P41" s="19">
        <v>1</v>
      </c>
    </row>
    <row r="42" spans="2:16" x14ac:dyDescent="0.25">
      <c r="B42" s="17">
        <v>38</v>
      </c>
      <c r="C42" s="4">
        <v>-283.41603423998998</v>
      </c>
      <c r="D42" s="5">
        <v>3</v>
      </c>
      <c r="E42" s="7"/>
      <c r="F42" s="7"/>
      <c r="G42" s="7"/>
      <c r="H42" s="3">
        <v>3</v>
      </c>
      <c r="I42" s="7"/>
      <c r="J42" s="7"/>
      <c r="K42" s="7"/>
      <c r="L42" s="7"/>
      <c r="M42" s="7">
        <v>15</v>
      </c>
      <c r="N42" s="7">
        <v>275</v>
      </c>
      <c r="O42" s="7">
        <v>1.25</v>
      </c>
      <c r="P42" s="20">
        <v>1</v>
      </c>
    </row>
    <row r="43" spans="2:16" x14ac:dyDescent="0.25">
      <c r="B43" s="15">
        <v>39</v>
      </c>
      <c r="C43" s="10">
        <v>212.47284400179001</v>
      </c>
      <c r="D43" s="11">
        <v>3</v>
      </c>
      <c r="E43" s="13"/>
      <c r="F43" s="13"/>
      <c r="G43" s="13"/>
      <c r="H43" s="9">
        <v>3</v>
      </c>
      <c r="I43" s="13"/>
      <c r="J43" s="13"/>
      <c r="K43" s="13"/>
      <c r="L43" s="13"/>
      <c r="M43" s="13">
        <v>20</v>
      </c>
      <c r="N43" s="13">
        <v>275</v>
      </c>
      <c r="O43" s="13">
        <v>1.22</v>
      </c>
      <c r="P43" s="19">
        <v>1</v>
      </c>
    </row>
    <row r="44" spans="2:16" x14ac:dyDescent="0.25">
      <c r="B44" s="17">
        <v>40</v>
      </c>
      <c r="C44" s="4">
        <v>-0.66642276540751</v>
      </c>
      <c r="D44" s="5"/>
      <c r="E44" s="65">
        <v>3.5</v>
      </c>
      <c r="F44" s="66">
        <v>0.875</v>
      </c>
      <c r="G44" s="7"/>
      <c r="H44" s="7"/>
      <c r="I44" s="6">
        <v>0.7</v>
      </c>
      <c r="J44" s="7">
        <v>0.3</v>
      </c>
      <c r="K44" s="8">
        <v>10</v>
      </c>
      <c r="L44" s="7">
        <v>275</v>
      </c>
      <c r="M44" s="7"/>
      <c r="N44" s="6">
        <v>0.3</v>
      </c>
      <c r="O44" s="7"/>
      <c r="P44" s="18"/>
    </row>
    <row r="45" spans="2:16" x14ac:dyDescent="0.25">
      <c r="B45" s="15">
        <v>41</v>
      </c>
      <c r="C45" s="10">
        <v>0.72608632349896995</v>
      </c>
      <c r="D45" s="11"/>
      <c r="E45" s="12">
        <v>3.5</v>
      </c>
      <c r="F45" s="13">
        <v>0.92500000000000004</v>
      </c>
      <c r="G45" s="13"/>
      <c r="H45" s="13"/>
      <c r="I45" s="12">
        <v>0.7</v>
      </c>
      <c r="J45" s="13">
        <v>0.3</v>
      </c>
      <c r="K45" s="14">
        <v>10</v>
      </c>
      <c r="L45" s="13">
        <v>275</v>
      </c>
      <c r="M45" s="13"/>
      <c r="N45" s="12">
        <v>0.3</v>
      </c>
      <c r="O45" s="13"/>
      <c r="P45" s="16"/>
    </row>
    <row r="46" spans="2:16" ht="15.75" thickBot="1" x14ac:dyDescent="0.3">
      <c r="B46" s="21">
        <v>42</v>
      </c>
      <c r="C46" s="22">
        <v>5.5068668612842001E-2</v>
      </c>
      <c r="D46" s="23"/>
      <c r="E46" s="6">
        <v>3</v>
      </c>
      <c r="F46" s="7">
        <v>0.875</v>
      </c>
      <c r="G46" s="24"/>
      <c r="H46" s="24"/>
      <c r="I46" s="25">
        <v>0.7</v>
      </c>
      <c r="J46" s="26">
        <v>1</v>
      </c>
      <c r="K46" s="26">
        <v>12.5</v>
      </c>
      <c r="L46" s="24">
        <v>275</v>
      </c>
      <c r="M46" s="24"/>
      <c r="N46" s="25">
        <v>0.3</v>
      </c>
      <c r="O46" s="24"/>
      <c r="P46" s="27"/>
    </row>
    <row r="47" spans="2:16" x14ac:dyDescent="0.25">
      <c r="B47" s="28"/>
      <c r="C47" s="29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1"/>
    </row>
    <row r="48" spans="2:16" x14ac:dyDescent="0.25">
      <c r="B48" s="32"/>
      <c r="C48" s="33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5"/>
    </row>
    <row r="49" spans="2:16" x14ac:dyDescent="0.25">
      <c r="B49" s="32"/>
      <c r="C49" s="33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5"/>
    </row>
    <row r="50" spans="2:16" x14ac:dyDescent="0.25">
      <c r="B50" s="32"/>
      <c r="C50" s="33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5"/>
    </row>
    <row r="51" spans="2:16" x14ac:dyDescent="0.25">
      <c r="B51" s="32"/>
      <c r="C51" s="33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5"/>
    </row>
    <row r="52" spans="2:16" x14ac:dyDescent="0.25">
      <c r="B52" s="32"/>
      <c r="C52" s="33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5"/>
    </row>
    <row r="53" spans="2:16" x14ac:dyDescent="0.25">
      <c r="B53" s="32"/>
      <c r="C53" s="33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5"/>
    </row>
    <row r="54" spans="2:16" x14ac:dyDescent="0.25">
      <c r="B54" s="32"/>
      <c r="C54" s="33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5"/>
    </row>
    <row r="55" spans="2:16" x14ac:dyDescent="0.25">
      <c r="B55" s="32"/>
      <c r="C55" s="33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5"/>
    </row>
    <row r="56" spans="2:16" ht="15.75" thickBot="1" x14ac:dyDescent="0.3">
      <c r="B56" s="36"/>
      <c r="C56" s="37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9"/>
    </row>
    <row r="58" spans="2:16" ht="18.75" thickBot="1" x14ac:dyDescent="0.3">
      <c r="B58" s="1005" t="s">
        <v>520</v>
      </c>
      <c r="C58" s="1005"/>
      <c r="D58" s="1005"/>
      <c r="E58" s="1005"/>
      <c r="F58" s="1005"/>
      <c r="G58" s="1005"/>
      <c r="H58" s="1005"/>
      <c r="I58" s="1005"/>
      <c r="J58" s="1005"/>
      <c r="K58" s="1005"/>
      <c r="L58" s="1005"/>
      <c r="M58" s="1005"/>
      <c r="N58" s="1005"/>
      <c r="O58" s="1005"/>
      <c r="P58" s="1005"/>
    </row>
    <row r="59" spans="2:16" ht="15.75" thickBot="1" x14ac:dyDescent="0.3"/>
    <row r="60" spans="2:16" ht="19.5" thickBot="1" x14ac:dyDescent="0.4">
      <c r="B60" s="48" t="s">
        <v>505</v>
      </c>
      <c r="C60" s="64" t="s">
        <v>508</v>
      </c>
      <c r="D60" s="51" t="s">
        <v>521</v>
      </c>
      <c r="F60" s="28"/>
      <c r="G60" s="30"/>
      <c r="H60" s="30"/>
      <c r="I60" s="30"/>
      <c r="J60" s="30"/>
      <c r="K60" s="30"/>
      <c r="L60" s="30"/>
      <c r="M60" s="30"/>
      <c r="N60" s="30"/>
      <c r="O60" s="30"/>
      <c r="P60" s="31"/>
    </row>
    <row r="61" spans="2:16" x14ac:dyDescent="0.25">
      <c r="B61" s="61">
        <v>1</v>
      </c>
      <c r="C61" s="62">
        <v>8.3730445600000003</v>
      </c>
      <c r="D61" s="63"/>
      <c r="F61" s="32"/>
      <c r="G61" s="34"/>
      <c r="H61" s="34"/>
      <c r="I61" s="34"/>
      <c r="J61" s="34"/>
      <c r="K61" s="34"/>
      <c r="L61" s="34"/>
      <c r="M61" s="34"/>
      <c r="N61" s="34"/>
      <c r="O61" s="34"/>
      <c r="P61" s="35"/>
    </row>
    <row r="62" spans="2:16" ht="15.75" thickBot="1" x14ac:dyDescent="0.3">
      <c r="B62" s="55">
        <v>2</v>
      </c>
      <c r="C62" s="53">
        <v>-3.7045430399999999</v>
      </c>
      <c r="D62" s="16"/>
      <c r="F62" s="36"/>
      <c r="G62" s="38"/>
      <c r="H62" s="38"/>
      <c r="I62" s="38"/>
      <c r="J62" s="38"/>
      <c r="K62" s="38"/>
      <c r="L62" s="38"/>
      <c r="M62" s="38"/>
      <c r="N62" s="38"/>
      <c r="O62" s="38"/>
      <c r="P62" s="39"/>
    </row>
    <row r="63" spans="2:16" x14ac:dyDescent="0.25">
      <c r="B63" s="54">
        <v>3</v>
      </c>
      <c r="C63" s="52">
        <v>2.5</v>
      </c>
      <c r="D63" s="18"/>
    </row>
    <row r="64" spans="2:16" x14ac:dyDescent="0.25">
      <c r="B64" s="55">
        <v>4</v>
      </c>
      <c r="C64" s="53">
        <v>1.9942704200000001</v>
      </c>
      <c r="D64" s="56">
        <v>3.1516299999999999</v>
      </c>
    </row>
    <row r="65" spans="2:4" x14ac:dyDescent="0.25">
      <c r="B65" s="54">
        <v>5</v>
      </c>
      <c r="C65" s="52">
        <v>0.62105248000000002</v>
      </c>
      <c r="D65" s="57">
        <v>6.1119000000000003</v>
      </c>
    </row>
    <row r="66" spans="2:4" x14ac:dyDescent="0.25">
      <c r="B66" s="55">
        <v>6</v>
      </c>
      <c r="C66" s="53">
        <v>0.41195292999999999</v>
      </c>
      <c r="D66" s="56">
        <v>6.7770799999999998</v>
      </c>
    </row>
    <row r="67" spans="2:4" x14ac:dyDescent="0.25">
      <c r="B67" s="54">
        <v>7</v>
      </c>
      <c r="C67" s="52">
        <v>1.04028922</v>
      </c>
      <c r="D67" s="57">
        <v>11.323840000000001</v>
      </c>
    </row>
    <row r="68" spans="2:4" ht="15.75" thickBot="1" x14ac:dyDescent="0.3">
      <c r="B68" s="58">
        <v>8</v>
      </c>
      <c r="C68" s="59">
        <v>8.3276779999999995E-2</v>
      </c>
      <c r="D68" s="60">
        <v>27.08792</v>
      </c>
    </row>
  </sheetData>
  <mergeCells count="2">
    <mergeCell ref="B58:P58"/>
    <mergeCell ref="B2:P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1D817-99A3-4216-98FF-8237789181F4}">
  <sheetPr codeName="Hoja4"/>
  <dimension ref="B2:P48"/>
  <sheetViews>
    <sheetView showGridLines="0" zoomScaleNormal="100" workbookViewId="0">
      <selection activeCell="S29" sqref="S29"/>
    </sheetView>
  </sheetViews>
  <sheetFormatPr baseColWidth="10" defaultColWidth="11.42578125" defaultRowHeight="15" x14ac:dyDescent="0.25"/>
  <cols>
    <col min="1" max="2" width="4.140625" style="69" customWidth="1"/>
    <col min="3" max="3" width="6" style="69" customWidth="1"/>
    <col min="4" max="8" width="9.140625" style="69" customWidth="1"/>
    <col min="9" max="9" width="4.140625" style="69" customWidth="1"/>
    <col min="10" max="10" width="11.42578125" style="69"/>
    <col min="11" max="11" width="12.42578125" style="69" bestFit="1" customWidth="1"/>
    <col min="12" max="12" width="11.42578125" style="69"/>
    <col min="13" max="13" width="14.28515625" style="69" bestFit="1" customWidth="1"/>
    <col min="14" max="15" width="11.42578125" style="69"/>
    <col min="16" max="16" width="13.28515625" style="69" bestFit="1" customWidth="1"/>
    <col min="17" max="16384" width="11.42578125" style="69"/>
  </cols>
  <sheetData>
    <row r="2" spans="2:15" ht="15.75" thickBot="1" x14ac:dyDescent="0.3">
      <c r="B2" s="1004" t="s">
        <v>522</v>
      </c>
      <c r="C2" s="1004"/>
      <c r="D2" s="1004"/>
      <c r="E2" s="1004"/>
      <c r="F2" s="1004"/>
      <c r="G2" s="1004"/>
      <c r="H2" s="1004"/>
      <c r="J2" s="1004" t="s">
        <v>523</v>
      </c>
      <c r="K2" s="1004"/>
    </row>
    <row r="3" spans="2:15" ht="15.75" thickBot="1" x14ac:dyDescent="0.3"/>
    <row r="4" spans="2:15" ht="17.25" thickBot="1" x14ac:dyDescent="0.3">
      <c r="D4" s="1009" t="s">
        <v>524</v>
      </c>
      <c r="E4" s="1010"/>
      <c r="F4" s="1010"/>
      <c r="G4" s="1010"/>
      <c r="H4" s="1011"/>
      <c r="J4" s="70" t="s">
        <v>525</v>
      </c>
      <c r="K4" s="69">
        <v>0.21115970001468412</v>
      </c>
    </row>
    <row r="5" spans="2:15" ht="15.75" thickBot="1" x14ac:dyDescent="0.3">
      <c r="D5" s="84">
        <v>700</v>
      </c>
      <c r="E5" s="85">
        <v>750</v>
      </c>
      <c r="F5" s="85">
        <v>800</v>
      </c>
      <c r="G5" s="85">
        <v>850</v>
      </c>
      <c r="H5" s="86">
        <v>900</v>
      </c>
      <c r="J5" s="70" t="s">
        <v>526</v>
      </c>
      <c r="K5" s="69">
        <v>0.11601285189794093</v>
      </c>
    </row>
    <row r="6" spans="2:15" x14ac:dyDescent="0.25">
      <c r="B6" s="1006" t="s">
        <v>527</v>
      </c>
      <c r="C6" s="81">
        <v>305</v>
      </c>
      <c r="D6" s="71">
        <v>56.113567298200003</v>
      </c>
      <c r="E6" s="72">
        <v>63.345002124200001</v>
      </c>
      <c r="F6" s="72">
        <v>71.660603563999999</v>
      </c>
      <c r="G6" s="72">
        <v>81.316392978600007</v>
      </c>
      <c r="H6" s="73">
        <v>92.655147618699999</v>
      </c>
      <c r="J6" s="70" t="s">
        <v>528</v>
      </c>
      <c r="K6" s="69">
        <v>-1.0627644610732669E-4</v>
      </c>
    </row>
    <row r="7" spans="2:15" x14ac:dyDescent="0.25">
      <c r="B7" s="1007"/>
      <c r="C7" s="82">
        <v>310</v>
      </c>
      <c r="D7" s="74">
        <v>56.298314925100001</v>
      </c>
      <c r="E7" s="75">
        <v>63.504117459900002</v>
      </c>
      <c r="F7" s="75">
        <v>71.786179944500006</v>
      </c>
      <c r="G7" s="75">
        <v>81.396757978500005</v>
      </c>
      <c r="H7" s="76">
        <v>92.673333898300001</v>
      </c>
      <c r="J7" s="70" t="s">
        <v>529</v>
      </c>
      <c r="K7" s="69">
        <v>-106.0934133066234</v>
      </c>
    </row>
    <row r="8" spans="2:15" x14ac:dyDescent="0.25">
      <c r="B8" s="1007"/>
      <c r="C8" s="82">
        <v>315</v>
      </c>
      <c r="D8" s="74">
        <v>56.486940658199998</v>
      </c>
      <c r="E8" s="75">
        <v>63.669095636999998</v>
      </c>
      <c r="F8" s="75">
        <v>71.920064807900005</v>
      </c>
      <c r="G8" s="75">
        <v>81.488480926899996</v>
      </c>
      <c r="H8" s="76">
        <v>92.706727306000005</v>
      </c>
      <c r="J8" s="70"/>
    </row>
    <row r="9" spans="2:15" x14ac:dyDescent="0.25">
      <c r="B9" s="1007"/>
      <c r="C9" s="82">
        <v>320</v>
      </c>
      <c r="D9" s="74">
        <v>56.679220594999997</v>
      </c>
      <c r="E9" s="75">
        <v>63.8396134706</v>
      </c>
      <c r="F9" s="75">
        <v>72.061812144800001</v>
      </c>
      <c r="G9" s="75">
        <v>81.590962148399996</v>
      </c>
      <c r="H9" s="76">
        <v>92.754533653300001</v>
      </c>
      <c r="J9" s="70" t="s">
        <v>503</v>
      </c>
      <c r="K9" s="87">
        <f>AVERAGE(D38:H48)*100</f>
        <v>1.2673550511305463</v>
      </c>
    </row>
    <row r="10" spans="2:15" ht="15.75" thickBot="1" x14ac:dyDescent="0.3">
      <c r="B10" s="1007"/>
      <c r="C10" s="82">
        <v>325</v>
      </c>
      <c r="D10" s="74">
        <v>56.874943437100001</v>
      </c>
      <c r="E10" s="75">
        <v>64.015366858199997</v>
      </c>
      <c r="F10" s="75">
        <v>72.2110030833</v>
      </c>
      <c r="G10" s="75">
        <v>81.703639225299995</v>
      </c>
      <c r="H10" s="76">
        <v>92.816008864599993</v>
      </c>
    </row>
    <row r="11" spans="2:15" x14ac:dyDescent="0.25">
      <c r="B11" s="1007"/>
      <c r="C11" s="82">
        <v>330</v>
      </c>
      <c r="D11" s="74">
        <v>57.073909913199998</v>
      </c>
      <c r="E11" s="75">
        <v>64.196069697799999</v>
      </c>
      <c r="F11" s="75">
        <v>72.367244172300005</v>
      </c>
      <c r="G11" s="75">
        <v>81.825984476000002</v>
      </c>
      <c r="H11" s="76">
        <v>92.890455426299994</v>
      </c>
      <c r="J11" s="1012"/>
      <c r="K11" s="1013"/>
      <c r="L11" s="1013"/>
      <c r="M11" s="1013"/>
      <c r="N11" s="1013"/>
      <c r="O11" s="1014"/>
    </row>
    <row r="12" spans="2:15" x14ac:dyDescent="0.25">
      <c r="B12" s="1007"/>
      <c r="C12" s="82">
        <v>335</v>
      </c>
      <c r="D12" s="74">
        <v>57.275932192399999</v>
      </c>
      <c r="E12" s="75">
        <v>64.381452841500007</v>
      </c>
      <c r="F12" s="75">
        <v>72.530165757399999</v>
      </c>
      <c r="G12" s="75">
        <v>81.957502600200002</v>
      </c>
      <c r="H12" s="76">
        <v>92.977219096799999</v>
      </c>
      <c r="J12" s="1015"/>
      <c r="K12" s="1016"/>
      <c r="L12" s="1016"/>
      <c r="M12" s="1016"/>
      <c r="N12" s="1016"/>
      <c r="O12" s="1017"/>
    </row>
    <row r="13" spans="2:15" ht="15.75" thickBot="1" x14ac:dyDescent="0.3">
      <c r="B13" s="1007"/>
      <c r="C13" s="82">
        <v>340</v>
      </c>
      <c r="D13" s="74">
        <v>57.480833299899999</v>
      </c>
      <c r="E13" s="75">
        <v>64.5712630907</v>
      </c>
      <c r="F13" s="75">
        <v>72.699420450299996</v>
      </c>
      <c r="G13" s="75">
        <v>82.097728483599994</v>
      </c>
      <c r="H13" s="76">
        <v>93.075685863800004</v>
      </c>
      <c r="J13" s="1018"/>
      <c r="K13" s="1019"/>
      <c r="L13" s="1019"/>
      <c r="M13" s="1019"/>
      <c r="N13" s="1019"/>
      <c r="O13" s="1020"/>
    </row>
    <row r="14" spans="2:15" x14ac:dyDescent="0.25">
      <c r="B14" s="1007"/>
      <c r="C14" s="82">
        <v>345</v>
      </c>
      <c r="D14" s="74">
        <v>57.688446540199998</v>
      </c>
      <c r="E14" s="75">
        <v>64.7652622361</v>
      </c>
      <c r="F14" s="75">
        <v>72.874681690100005</v>
      </c>
      <c r="G14" s="75">
        <v>82.246225154100003</v>
      </c>
      <c r="H14" s="76">
        <v>93.185279127900003</v>
      </c>
    </row>
    <row r="15" spans="2:15" x14ac:dyDescent="0.25">
      <c r="B15" s="1007"/>
      <c r="C15" s="82">
        <v>350</v>
      </c>
      <c r="D15" s="74">
        <v>57.898614935499999</v>
      </c>
      <c r="E15" s="75">
        <v>64.963226146099998</v>
      </c>
      <c r="F15" s="75">
        <v>73.055642393300005</v>
      </c>
      <c r="G15" s="75">
        <v>82.40258188</v>
      </c>
      <c r="H15" s="76">
        <v>93.305457098999995</v>
      </c>
    </row>
    <row r="16" spans="2:15" ht="15.75" thickBot="1" x14ac:dyDescent="0.3">
      <c r="B16" s="1008"/>
      <c r="C16" s="83">
        <v>355</v>
      </c>
      <c r="D16" s="77">
        <v>58.111190681499998</v>
      </c>
      <c r="E16" s="78">
        <v>65.164943901800001</v>
      </c>
      <c r="F16" s="78">
        <v>73.242013689999993</v>
      </c>
      <c r="G16" s="78">
        <v>82.566412403599998</v>
      </c>
      <c r="H16" s="79">
        <v>93.435710388999993</v>
      </c>
    </row>
    <row r="18" spans="2:16" ht="15.75" thickBot="1" x14ac:dyDescent="0.3">
      <c r="B18" s="1004" t="s">
        <v>530</v>
      </c>
      <c r="C18" s="1004"/>
      <c r="D18" s="1004"/>
      <c r="E18" s="1004"/>
      <c r="F18" s="1004"/>
      <c r="G18" s="1004"/>
      <c r="H18" s="1004"/>
    </row>
    <row r="19" spans="2:16" ht="15.75" thickBot="1" x14ac:dyDescent="0.3">
      <c r="B19" s="80"/>
      <c r="C19" s="80"/>
      <c r="D19" s="80"/>
      <c r="E19" s="80"/>
      <c r="F19" s="80"/>
      <c r="G19" s="80"/>
      <c r="H19" s="80"/>
    </row>
    <row r="20" spans="2:16" ht="17.25" thickBot="1" x14ac:dyDescent="0.3">
      <c r="D20" s="1009" t="s">
        <v>524</v>
      </c>
      <c r="E20" s="1010"/>
      <c r="F20" s="1010"/>
      <c r="G20" s="1010"/>
      <c r="H20" s="1011"/>
    </row>
    <row r="21" spans="2:16" ht="15.75" thickBot="1" x14ac:dyDescent="0.3">
      <c r="D21" s="84">
        <v>700</v>
      </c>
      <c r="E21" s="85">
        <v>750</v>
      </c>
      <c r="F21" s="85">
        <v>800</v>
      </c>
      <c r="G21" s="85">
        <v>850</v>
      </c>
      <c r="H21" s="86">
        <v>900</v>
      </c>
    </row>
    <row r="22" spans="2:16" x14ac:dyDescent="0.25">
      <c r="B22" s="1006" t="s">
        <v>527</v>
      </c>
      <c r="C22" s="81">
        <v>305</v>
      </c>
      <c r="D22" s="71">
        <f t="shared" ref="D22:H32" si="0">$K$4*D$21 + $K$5*$C22 + $K$6*$C22*D$21 + $K$7</f>
        <v>54.412275288613216</v>
      </c>
      <c r="E22" s="72">
        <f t="shared" si="0"/>
        <v>63.349544486210704</v>
      </c>
      <c r="F22" s="72">
        <f t="shared" si="0"/>
        <v>72.286813683808134</v>
      </c>
      <c r="G22" s="72">
        <f t="shared" si="0"/>
        <v>81.224082881405621</v>
      </c>
      <c r="H22" s="73">
        <f t="shared" si="0"/>
        <v>90.161352079003109</v>
      </c>
    </row>
    <row r="23" spans="2:16" x14ac:dyDescent="0.25">
      <c r="B23" s="1007"/>
      <c r="C23" s="82">
        <v>310</v>
      </c>
      <c r="D23" s="74">
        <f t="shared" si="0"/>
        <v>54.620371986727264</v>
      </c>
      <c r="E23" s="75">
        <f t="shared" si="0"/>
        <v>63.53107207279794</v>
      </c>
      <c r="F23" s="75">
        <f t="shared" si="0"/>
        <v>72.441772158868559</v>
      </c>
      <c r="G23" s="75">
        <f t="shared" si="0"/>
        <v>81.352472244939207</v>
      </c>
      <c r="H23" s="76">
        <f t="shared" si="0"/>
        <v>90.263172331009827</v>
      </c>
    </row>
    <row r="24" spans="2:16" x14ac:dyDescent="0.25">
      <c r="B24" s="1007"/>
      <c r="C24" s="82">
        <v>315</v>
      </c>
      <c r="D24" s="74">
        <f t="shared" si="0"/>
        <v>54.82846868484134</v>
      </c>
      <c r="E24" s="75">
        <f t="shared" si="0"/>
        <v>63.712599659385177</v>
      </c>
      <c r="F24" s="75">
        <f t="shared" si="0"/>
        <v>72.596730633928956</v>
      </c>
      <c r="G24" s="75">
        <f t="shared" si="0"/>
        <v>81.480861608472793</v>
      </c>
      <c r="H24" s="76">
        <f t="shared" si="0"/>
        <v>90.364992583016601</v>
      </c>
      <c r="P24" s="87"/>
    </row>
    <row r="25" spans="2:16" x14ac:dyDescent="0.25">
      <c r="B25" s="1007"/>
      <c r="C25" s="82">
        <v>320</v>
      </c>
      <c r="D25" s="74">
        <f t="shared" si="0"/>
        <v>55.036565382955388</v>
      </c>
      <c r="E25" s="75">
        <f t="shared" si="0"/>
        <v>63.894127245972385</v>
      </c>
      <c r="F25" s="75">
        <f t="shared" si="0"/>
        <v>72.751689108989353</v>
      </c>
      <c r="G25" s="75">
        <f t="shared" si="0"/>
        <v>81.60925097200635</v>
      </c>
      <c r="H25" s="76">
        <f t="shared" si="0"/>
        <v>90.466812835023291</v>
      </c>
      <c r="M25" s="87"/>
    </row>
    <row r="26" spans="2:16" x14ac:dyDescent="0.25">
      <c r="B26" s="1007"/>
      <c r="C26" s="82">
        <v>325</v>
      </c>
      <c r="D26" s="74">
        <f t="shared" si="0"/>
        <v>55.244662081069464</v>
      </c>
      <c r="E26" s="75">
        <f t="shared" si="0"/>
        <v>64.075654832559621</v>
      </c>
      <c r="F26" s="75">
        <f t="shared" si="0"/>
        <v>72.90664758404975</v>
      </c>
      <c r="G26" s="75">
        <f t="shared" si="0"/>
        <v>81.737640335539908</v>
      </c>
      <c r="H26" s="76">
        <f t="shared" si="0"/>
        <v>90.568633087030037</v>
      </c>
      <c r="M26" s="89"/>
    </row>
    <row r="27" spans="2:16" x14ac:dyDescent="0.25">
      <c r="B27" s="1007"/>
      <c r="C27" s="82">
        <v>330</v>
      </c>
      <c r="D27" s="74">
        <f t="shared" si="0"/>
        <v>55.452758779183512</v>
      </c>
      <c r="E27" s="75">
        <f t="shared" si="0"/>
        <v>64.257182419146829</v>
      </c>
      <c r="F27" s="75">
        <f t="shared" si="0"/>
        <v>73.061606059110176</v>
      </c>
      <c r="G27" s="75">
        <f t="shared" si="0"/>
        <v>81.866029699073493</v>
      </c>
      <c r="H27" s="76">
        <f t="shared" si="0"/>
        <v>90.670453339036783</v>
      </c>
    </row>
    <row r="28" spans="2:16" x14ac:dyDescent="0.25">
      <c r="B28" s="1007"/>
      <c r="C28" s="82">
        <v>335</v>
      </c>
      <c r="D28" s="74">
        <f t="shared" si="0"/>
        <v>55.660855477297588</v>
      </c>
      <c r="E28" s="75">
        <f t="shared" si="0"/>
        <v>64.438710005734094</v>
      </c>
      <c r="F28" s="75">
        <f t="shared" si="0"/>
        <v>73.216564534170544</v>
      </c>
      <c r="G28" s="75">
        <f t="shared" si="0"/>
        <v>81.994419062607051</v>
      </c>
      <c r="H28" s="76">
        <f t="shared" si="0"/>
        <v>90.772273591043529</v>
      </c>
      <c r="M28" s="88"/>
    </row>
    <row r="29" spans="2:16" x14ac:dyDescent="0.25">
      <c r="B29" s="1007"/>
      <c r="C29" s="82">
        <v>340</v>
      </c>
      <c r="D29" s="74">
        <f t="shared" si="0"/>
        <v>55.868952175411664</v>
      </c>
      <c r="E29" s="75">
        <f t="shared" si="0"/>
        <v>64.620237592321331</v>
      </c>
      <c r="F29" s="75">
        <f t="shared" si="0"/>
        <v>73.371523009230941</v>
      </c>
      <c r="G29" s="75">
        <f t="shared" si="0"/>
        <v>82.122808426140608</v>
      </c>
      <c r="H29" s="76">
        <f t="shared" si="0"/>
        <v>90.874093843050275</v>
      </c>
      <c r="M29" s="90"/>
    </row>
    <row r="30" spans="2:16" x14ac:dyDescent="0.25">
      <c r="B30" s="1007"/>
      <c r="C30" s="82">
        <v>345</v>
      </c>
      <c r="D30" s="74">
        <f t="shared" si="0"/>
        <v>56.077048873525712</v>
      </c>
      <c r="E30" s="75">
        <f t="shared" si="0"/>
        <v>64.801765178908539</v>
      </c>
      <c r="F30" s="75">
        <f t="shared" si="0"/>
        <v>73.526481484291338</v>
      </c>
      <c r="G30" s="75">
        <f t="shared" si="0"/>
        <v>82.251197789674166</v>
      </c>
      <c r="H30" s="76">
        <f t="shared" si="0"/>
        <v>90.975914095056964</v>
      </c>
    </row>
    <row r="31" spans="2:16" x14ac:dyDescent="0.25">
      <c r="B31" s="1007"/>
      <c r="C31" s="82">
        <v>350</v>
      </c>
      <c r="D31" s="74">
        <f t="shared" si="0"/>
        <v>56.28514557163976</v>
      </c>
      <c r="E31" s="75">
        <f t="shared" si="0"/>
        <v>64.983292765495776</v>
      </c>
      <c r="F31" s="75">
        <f t="shared" si="0"/>
        <v>73.681439959351735</v>
      </c>
      <c r="G31" s="75">
        <f t="shared" si="0"/>
        <v>82.379587153207751</v>
      </c>
      <c r="H31" s="76">
        <f t="shared" si="0"/>
        <v>91.077734347063711</v>
      </c>
      <c r="M31" s="87"/>
    </row>
    <row r="32" spans="2:16" ht="15.75" thickBot="1" x14ac:dyDescent="0.3">
      <c r="B32" s="1008"/>
      <c r="C32" s="83">
        <v>355</v>
      </c>
      <c r="D32" s="77">
        <f t="shared" si="0"/>
        <v>56.493242269753807</v>
      </c>
      <c r="E32" s="78">
        <f t="shared" si="0"/>
        <v>65.164820352082984</v>
      </c>
      <c r="F32" s="78">
        <f t="shared" si="0"/>
        <v>73.836398434412132</v>
      </c>
      <c r="G32" s="78">
        <f t="shared" si="0"/>
        <v>82.507976516741309</v>
      </c>
      <c r="H32" s="79">
        <f t="shared" si="0"/>
        <v>91.179554599070457</v>
      </c>
    </row>
    <row r="34" spans="2:8" ht="15.75" thickBot="1" x14ac:dyDescent="0.3">
      <c r="B34" s="1004" t="s">
        <v>531</v>
      </c>
      <c r="C34" s="1004"/>
      <c r="D34" s="1004"/>
      <c r="E34" s="1004"/>
      <c r="F34" s="1004"/>
      <c r="G34" s="1004"/>
      <c r="H34" s="1004"/>
    </row>
    <row r="35" spans="2:8" ht="15.75" thickBot="1" x14ac:dyDescent="0.3">
      <c r="B35" s="80"/>
      <c r="C35" s="80"/>
      <c r="D35" s="80"/>
      <c r="E35" s="80"/>
      <c r="F35" s="80"/>
      <c r="G35" s="80"/>
      <c r="H35" s="80"/>
    </row>
    <row r="36" spans="2:8" ht="17.25" thickBot="1" x14ac:dyDescent="0.3">
      <c r="B36" s="80"/>
      <c r="C36" s="80"/>
      <c r="D36" s="1009" t="s">
        <v>524</v>
      </c>
      <c r="E36" s="1010"/>
      <c r="F36" s="1010"/>
      <c r="G36" s="1010"/>
      <c r="H36" s="1011"/>
    </row>
    <row r="37" spans="2:8" ht="15.75" thickBot="1" x14ac:dyDescent="0.3">
      <c r="D37" s="84">
        <v>700</v>
      </c>
      <c r="E37" s="85">
        <v>750</v>
      </c>
      <c r="F37" s="85">
        <v>800</v>
      </c>
      <c r="G37" s="85">
        <v>850</v>
      </c>
      <c r="H37" s="86">
        <v>900</v>
      </c>
    </row>
    <row r="38" spans="2:8" x14ac:dyDescent="0.25">
      <c r="B38" s="1006" t="s">
        <v>527</v>
      </c>
      <c r="C38" s="81">
        <v>305</v>
      </c>
      <c r="D38" s="71">
        <f t="shared" ref="D38:H48" si="1">ABS(D22-D6)/D6</f>
        <v>3.0318728455557675E-2</v>
      </c>
      <c r="E38" s="72">
        <f t="shared" si="1"/>
        <v>7.170829360455061E-5</v>
      </c>
      <c r="F38" s="72">
        <f t="shared" si="1"/>
        <v>8.7385549194944727E-3</v>
      </c>
      <c r="G38" s="72">
        <f t="shared" si="1"/>
        <v>1.1351966536277442E-3</v>
      </c>
      <c r="H38" s="73">
        <f t="shared" si="1"/>
        <v>2.6914808338113137E-2</v>
      </c>
    </row>
    <row r="39" spans="2:8" x14ac:dyDescent="0.25">
      <c r="B39" s="1007"/>
      <c r="C39" s="82">
        <v>310</v>
      </c>
      <c r="D39" s="74">
        <f t="shared" si="1"/>
        <v>2.9804496646215688E-2</v>
      </c>
      <c r="E39" s="75">
        <f t="shared" si="1"/>
        <v>4.2445457044512386E-4</v>
      </c>
      <c r="F39" s="75">
        <f t="shared" si="1"/>
        <v>9.1325686208043252E-3</v>
      </c>
      <c r="G39" s="75">
        <f t="shared" si="1"/>
        <v>5.4407245031178996E-4</v>
      </c>
      <c r="H39" s="76">
        <f t="shared" si="1"/>
        <v>2.6007066605967723E-2</v>
      </c>
    </row>
    <row r="40" spans="2:8" x14ac:dyDescent="0.25">
      <c r="B40" s="1007"/>
      <c r="C40" s="82">
        <v>315</v>
      </c>
      <c r="D40" s="74">
        <f t="shared" si="1"/>
        <v>2.9360272552093048E-2</v>
      </c>
      <c r="E40" s="75">
        <f t="shared" si="1"/>
        <v>6.8328318393605565E-4</v>
      </c>
      <c r="F40" s="75">
        <f t="shared" si="1"/>
        <v>9.4085819838502695E-3</v>
      </c>
      <c r="G40" s="75">
        <f t="shared" si="1"/>
        <v>9.350178504416902E-5</v>
      </c>
      <c r="H40" s="76">
        <f t="shared" si="1"/>
        <v>2.5259598640063802E-2</v>
      </c>
    </row>
    <row r="41" spans="2:8" x14ac:dyDescent="0.25">
      <c r="B41" s="1007"/>
      <c r="C41" s="82">
        <v>320</v>
      </c>
      <c r="D41" s="74">
        <f t="shared" si="1"/>
        <v>2.8981612569836876E-2</v>
      </c>
      <c r="E41" s="75">
        <f t="shared" si="1"/>
        <v>8.539176916772871E-4</v>
      </c>
      <c r="F41" s="75">
        <f t="shared" si="1"/>
        <v>9.5734057145707516E-3</v>
      </c>
      <c r="G41" s="75">
        <f t="shared" si="1"/>
        <v>2.2415256696067039E-4</v>
      </c>
      <c r="H41" s="76">
        <f t="shared" si="1"/>
        <v>2.4664247969029798E-2</v>
      </c>
    </row>
    <row r="42" spans="2:8" x14ac:dyDescent="0.25">
      <c r="B42" s="1007"/>
      <c r="C42" s="82">
        <v>325</v>
      </c>
      <c r="D42" s="74">
        <f t="shared" si="1"/>
        <v>2.8664316085580326E-2</v>
      </c>
      <c r="E42" s="75">
        <f t="shared" si="1"/>
        <v>9.4177347281580411E-4</v>
      </c>
      <c r="F42" s="75">
        <f t="shared" si="1"/>
        <v>9.6334972656075754E-3</v>
      </c>
      <c r="G42" s="75">
        <f t="shared" si="1"/>
        <v>4.1615172301143362E-4</v>
      </c>
      <c r="H42" s="76">
        <f t="shared" si="1"/>
        <v>2.4213234387705992E-2</v>
      </c>
    </row>
    <row r="43" spans="2:8" x14ac:dyDescent="0.25">
      <c r="B43" s="1007"/>
      <c r="C43" s="82">
        <v>330</v>
      </c>
      <c r="D43" s="74">
        <f t="shared" si="1"/>
        <v>2.8404416947813624E-2</v>
      </c>
      <c r="E43" s="75">
        <f t="shared" si="1"/>
        <v>9.5196982672796093E-4</v>
      </c>
      <c r="F43" s="75">
        <f t="shared" si="1"/>
        <v>9.5949748363632122E-3</v>
      </c>
      <c r="G43" s="75">
        <f t="shared" si="1"/>
        <v>4.8939494379364077E-4</v>
      </c>
      <c r="H43" s="76">
        <f t="shared" si="1"/>
        <v>2.3899140951295882E-2</v>
      </c>
    </row>
    <row r="44" spans="2:8" x14ac:dyDescent="0.25">
      <c r="B44" s="1007"/>
      <c r="C44" s="82">
        <v>335</v>
      </c>
      <c r="D44" s="74">
        <f t="shared" si="1"/>
        <v>2.8198174229222189E-2</v>
      </c>
      <c r="E44" s="75">
        <f t="shared" si="1"/>
        <v>8.8934253122631977E-4</v>
      </c>
      <c r="F44" s="75">
        <f t="shared" si="1"/>
        <v>9.4636317124439269E-3</v>
      </c>
      <c r="G44" s="75">
        <f t="shared" si="1"/>
        <v>4.5043420353024739E-4</v>
      </c>
      <c r="H44" s="76">
        <f t="shared" si="1"/>
        <v>2.3714900565705969E-2</v>
      </c>
    </row>
    <row r="45" spans="2:8" x14ac:dyDescent="0.25">
      <c r="B45" s="1007"/>
      <c r="C45" s="82">
        <v>340</v>
      </c>
      <c r="D45" s="74">
        <f t="shared" si="1"/>
        <v>2.804206257899081E-2</v>
      </c>
      <c r="E45" s="75">
        <f t="shared" si="1"/>
        <v>7.5845661486501406E-4</v>
      </c>
      <c r="F45" s="75">
        <f t="shared" si="1"/>
        <v>9.2449507130585584E-3</v>
      </c>
      <c r="G45" s="75">
        <f t="shared" si="1"/>
        <v>3.0548887288184002E-4</v>
      </c>
      <c r="H45" s="76">
        <f t="shared" si="1"/>
        <v>2.3653782406410348E-2</v>
      </c>
    </row>
    <row r="46" spans="2:8" x14ac:dyDescent="0.25">
      <c r="B46" s="1007"/>
      <c r="C46" s="82">
        <v>345</v>
      </c>
      <c r="D46" s="74">
        <f t="shared" si="1"/>
        <v>2.793276233485311E-2</v>
      </c>
      <c r="E46" s="75">
        <f t="shared" si="1"/>
        <v>5.636191616961079E-4</v>
      </c>
      <c r="F46" s="75">
        <f t="shared" si="1"/>
        <v>8.9441185755447395E-3</v>
      </c>
      <c r="G46" s="75">
        <f t="shared" si="1"/>
        <v>6.04603501844087E-5</v>
      </c>
      <c r="H46" s="76">
        <f t="shared" si="1"/>
        <v>2.3709378278629279E-2</v>
      </c>
    </row>
    <row r="47" spans="2:8" x14ac:dyDescent="0.25">
      <c r="B47" s="1007"/>
      <c r="C47" s="82">
        <v>350</v>
      </c>
      <c r="D47" s="74">
        <f t="shared" si="1"/>
        <v>2.7867149596888824E-2</v>
      </c>
      <c r="E47" s="75">
        <f t="shared" si="1"/>
        <v>3.0889197760357735E-4</v>
      </c>
      <c r="F47" s="75">
        <f t="shared" si="1"/>
        <v>8.5660401517340268E-3</v>
      </c>
      <c r="G47" s="75">
        <f t="shared" si="1"/>
        <v>2.7905347463183571E-4</v>
      </c>
      <c r="H47" s="76">
        <f t="shared" si="1"/>
        <v>2.3875589072701296E-2</v>
      </c>
    </row>
    <row r="48" spans="2:8" ht="15.75" thickBot="1" x14ac:dyDescent="0.3">
      <c r="B48" s="1008"/>
      <c r="C48" s="83">
        <v>355</v>
      </c>
      <c r="D48" s="77">
        <f t="shared" si="1"/>
        <v>2.7842286361227035E-2</v>
      </c>
      <c r="E48" s="78">
        <f t="shared" si="1"/>
        <v>1.8959537079214796E-6</v>
      </c>
      <c r="F48" s="78">
        <f t="shared" si="1"/>
        <v>8.1153523021349205E-3</v>
      </c>
      <c r="G48" s="78">
        <f t="shared" si="1"/>
        <v>7.0774404697449434E-4</v>
      </c>
      <c r="H48" s="79">
        <f t="shared" si="1"/>
        <v>2.414661140303322E-2</v>
      </c>
    </row>
  </sheetData>
  <mergeCells count="11">
    <mergeCell ref="B38:B48"/>
    <mergeCell ref="D36:H36"/>
    <mergeCell ref="J2:K2"/>
    <mergeCell ref="J11:O13"/>
    <mergeCell ref="D4:H4"/>
    <mergeCell ref="B6:B16"/>
    <mergeCell ref="B2:H2"/>
    <mergeCell ref="B18:H18"/>
    <mergeCell ref="B34:H34"/>
    <mergeCell ref="D20:H20"/>
    <mergeCell ref="B22:B3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91A8-9A36-4486-9A53-597C2533B2AF}">
  <sheetPr codeName="Hoja5"/>
  <dimension ref="B1:F26"/>
  <sheetViews>
    <sheetView showGridLines="0" workbookViewId="0">
      <selection activeCell="K5" sqref="K5"/>
    </sheetView>
  </sheetViews>
  <sheetFormatPr baseColWidth="10" defaultColWidth="11.42578125" defaultRowHeight="15" x14ac:dyDescent="0.25"/>
  <cols>
    <col min="1" max="1" width="4.85546875" style="1" customWidth="1"/>
    <col min="2" max="2" width="7.28515625" style="1" customWidth="1"/>
    <col min="3" max="16384" width="11.42578125" style="1"/>
  </cols>
  <sheetData>
    <row r="1" spans="2:6" ht="15.75" thickBot="1" x14ac:dyDescent="0.3"/>
    <row r="2" spans="2:6" x14ac:dyDescent="0.25">
      <c r="B2" s="1022"/>
      <c r="C2" s="1023"/>
      <c r="D2" s="1023"/>
      <c r="E2" s="1023"/>
      <c r="F2" s="1024"/>
    </row>
    <row r="3" spans="2:6" x14ac:dyDescent="0.25">
      <c r="B3" s="1025"/>
      <c r="C3" s="1026"/>
      <c r="D3" s="1026"/>
      <c r="E3" s="1026"/>
      <c r="F3" s="1027"/>
    </row>
    <row r="4" spans="2:6" x14ac:dyDescent="0.25">
      <c r="B4" s="1025"/>
      <c r="C4" s="1026"/>
      <c r="D4" s="1026"/>
      <c r="E4" s="1026"/>
      <c r="F4" s="1027"/>
    </row>
    <row r="5" spans="2:6" ht="15.75" thickBot="1" x14ac:dyDescent="0.3">
      <c r="B5" s="1028"/>
      <c r="C5" s="1029"/>
      <c r="D5" s="1029"/>
      <c r="E5" s="1029"/>
      <c r="F5" s="1030"/>
    </row>
    <row r="6" spans="2:6" ht="15.75" thickBot="1" x14ac:dyDescent="0.3"/>
    <row r="7" spans="2:6" x14ac:dyDescent="0.25">
      <c r="B7" s="1022"/>
      <c r="C7" s="1023"/>
      <c r="D7" s="1023"/>
      <c r="E7" s="1023"/>
      <c r="F7" s="1024"/>
    </row>
    <row r="8" spans="2:6" x14ac:dyDescent="0.25">
      <c r="B8" s="1025"/>
      <c r="C8" s="1026"/>
      <c r="D8" s="1026"/>
      <c r="E8" s="1026"/>
      <c r="F8" s="1027"/>
    </row>
    <row r="9" spans="2:6" x14ac:dyDescent="0.25">
      <c r="B9" s="1025"/>
      <c r="C9" s="1026"/>
      <c r="D9" s="1026"/>
      <c r="E9" s="1026"/>
      <c r="F9" s="1027"/>
    </row>
    <row r="10" spans="2:6" ht="15.75" thickBot="1" x14ac:dyDescent="0.3">
      <c r="B10" s="1028"/>
      <c r="C10" s="1029"/>
      <c r="D10" s="1029"/>
      <c r="E10" s="1029"/>
      <c r="F10" s="1030"/>
    </row>
    <row r="11" spans="2:6" ht="15.75" thickBot="1" x14ac:dyDescent="0.3"/>
    <row r="12" spans="2:6" x14ac:dyDescent="0.25">
      <c r="B12" s="1022"/>
      <c r="C12" s="1023"/>
      <c r="D12" s="1023"/>
      <c r="E12" s="1023"/>
      <c r="F12" s="1024"/>
    </row>
    <row r="13" spans="2:6" x14ac:dyDescent="0.25">
      <c r="B13" s="1025"/>
      <c r="C13" s="1026"/>
      <c r="D13" s="1026"/>
      <c r="E13" s="1026"/>
      <c r="F13" s="1027"/>
    </row>
    <row r="14" spans="2:6" x14ac:dyDescent="0.25">
      <c r="B14" s="1025"/>
      <c r="C14" s="1026"/>
      <c r="D14" s="1026"/>
      <c r="E14" s="1026"/>
      <c r="F14" s="1027"/>
    </row>
    <row r="15" spans="2:6" ht="15.75" thickBot="1" x14ac:dyDescent="0.3">
      <c r="B15" s="1028"/>
      <c r="C15" s="1029"/>
      <c r="D15" s="1029"/>
      <c r="E15" s="1029"/>
      <c r="F15" s="1030"/>
    </row>
    <row r="17" spans="2:5" ht="16.5" x14ac:dyDescent="0.3">
      <c r="B17" s="91" t="s">
        <v>532</v>
      </c>
      <c r="C17" s="1021" t="s">
        <v>533</v>
      </c>
      <c r="D17" s="1021"/>
      <c r="E17" s="1021"/>
    </row>
    <row r="18" spans="2:5" x14ac:dyDescent="0.25">
      <c r="B18" s="92" t="s">
        <v>534</v>
      </c>
      <c r="C18" s="1021" t="s">
        <v>535</v>
      </c>
      <c r="D18" s="1021"/>
      <c r="E18" s="1021"/>
    </row>
    <row r="19" spans="2:5" x14ac:dyDescent="0.25">
      <c r="B19" s="93" t="s">
        <v>536</v>
      </c>
      <c r="C19" s="1021" t="s">
        <v>537</v>
      </c>
      <c r="D19" s="1021"/>
      <c r="E19" s="1021"/>
    </row>
    <row r="20" spans="2:5" x14ac:dyDescent="0.25">
      <c r="B20" s="93" t="s">
        <v>538</v>
      </c>
      <c r="C20" s="1021" t="s">
        <v>539</v>
      </c>
      <c r="D20" s="1021"/>
      <c r="E20" s="1021"/>
    </row>
    <row r="21" spans="2:5" x14ac:dyDescent="0.25">
      <c r="B21" s="93" t="s">
        <v>540</v>
      </c>
      <c r="C21" s="1021" t="s">
        <v>541</v>
      </c>
      <c r="D21" s="1021"/>
      <c r="E21" s="1021"/>
    </row>
    <row r="22" spans="2:5" x14ac:dyDescent="0.25">
      <c r="B22" s="93" t="s">
        <v>542</v>
      </c>
      <c r="C22" s="1021" t="s">
        <v>543</v>
      </c>
      <c r="D22" s="1021"/>
      <c r="E22" s="1021"/>
    </row>
    <row r="23" spans="2:5" ht="16.5" x14ac:dyDescent="0.3">
      <c r="B23" s="93" t="s">
        <v>544</v>
      </c>
      <c r="C23" s="1021" t="s">
        <v>545</v>
      </c>
      <c r="D23" s="1021"/>
      <c r="E23" s="1021"/>
    </row>
    <row r="24" spans="2:5" x14ac:dyDescent="0.25">
      <c r="B24" s="93" t="s">
        <v>546</v>
      </c>
      <c r="C24" s="1021" t="s">
        <v>547</v>
      </c>
      <c r="D24" s="1021"/>
      <c r="E24" s="1021"/>
    </row>
    <row r="25" spans="2:5" x14ac:dyDescent="0.25">
      <c r="B25" s="93" t="s">
        <v>548</v>
      </c>
      <c r="C25" s="1021" t="s">
        <v>549</v>
      </c>
      <c r="D25" s="1021"/>
      <c r="E25" s="1021"/>
    </row>
    <row r="26" spans="2:5" x14ac:dyDescent="0.25">
      <c r="B26" s="93" t="s">
        <v>550</v>
      </c>
      <c r="C26" s="1021" t="s">
        <v>154</v>
      </c>
      <c r="D26" s="1021"/>
      <c r="E26" s="1021"/>
    </row>
  </sheetData>
  <mergeCells count="13">
    <mergeCell ref="C19:E19"/>
    <mergeCell ref="C26:E26"/>
    <mergeCell ref="C25:E25"/>
    <mergeCell ref="B2:F5"/>
    <mergeCell ref="B7:F10"/>
    <mergeCell ref="B12:F15"/>
    <mergeCell ref="C17:E17"/>
    <mergeCell ref="C18:E18"/>
    <mergeCell ref="C24:E24"/>
    <mergeCell ref="C23:E23"/>
    <mergeCell ref="C22:E22"/>
    <mergeCell ref="C21:E21"/>
    <mergeCell ref="C20:E2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4bf490-29dd-4652-bdaf-291c851ae2fc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ED15A9EB5DF524085DADD4C820C32C9" ma:contentTypeVersion="7" ma:contentTypeDescription="Crear nuevo documento." ma:contentTypeScope="" ma:versionID="0b5af0db424c50647162186747f1930c">
  <xsd:schema xmlns:xsd="http://www.w3.org/2001/XMLSchema" xmlns:xs="http://www.w3.org/2001/XMLSchema" xmlns:p="http://schemas.microsoft.com/office/2006/metadata/properties" xmlns:ns3="464bf490-29dd-4652-bdaf-291c851ae2fc" xmlns:ns4="067ab4a6-cbfe-47c9-a765-2da8caa5d495" targetNamespace="http://schemas.microsoft.com/office/2006/metadata/properties" ma:root="true" ma:fieldsID="89286d03295d73ad8473cb9674ee6e27" ns3:_="" ns4:_="">
    <xsd:import namespace="464bf490-29dd-4652-bdaf-291c851ae2fc"/>
    <xsd:import namespace="067ab4a6-cbfe-47c9-a765-2da8caa5d4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4bf490-29dd-4652-bdaf-291c851ae2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7ab4a6-cbfe-47c9-a765-2da8caa5d495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11C659-343A-4F07-A7C3-DBF1F9987B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CA456D4-9BE0-4DDE-9D6E-F89B1F8A331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B575D94-9FDB-4F60-A08A-3AD0E37DDB4A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067ab4a6-cbfe-47c9-a765-2da8caa5d495"/>
    <ds:schemaRef ds:uri="http://purl.org/dc/terms/"/>
    <ds:schemaRef ds:uri="464bf490-29dd-4652-bdaf-291c851ae2fc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7F3400A-0394-4FD0-BB7E-6FBB3F7A5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4bf490-29dd-4652-bdaf-291c851ae2fc"/>
    <ds:schemaRef ds:uri="067ab4a6-cbfe-47c9-a765-2da8caa5d4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52</vt:i4>
      </vt:variant>
    </vt:vector>
  </HeadingPairs>
  <TitlesOfParts>
    <vt:vector size="62" baseType="lpstr">
      <vt:lpstr>SCALE-UP DATA</vt:lpstr>
      <vt:lpstr>FLOWSHEET ZONE 100</vt:lpstr>
      <vt:lpstr>FLOWSHEET ZONE 200</vt:lpstr>
      <vt:lpstr>FLOWSHEE ZONE 300</vt:lpstr>
      <vt:lpstr>ECONOMIC ANALYSIS</vt:lpstr>
      <vt:lpstr>SENSITIVITY ANALYSIS</vt:lpstr>
      <vt:lpstr>CP PROP REFRIGERANT</vt:lpstr>
      <vt:lpstr>EOS</vt:lpstr>
      <vt:lpstr>SUPERCRITICAL VISCOSITY</vt:lpstr>
      <vt:lpstr>PRESSURE DROP</vt:lpstr>
      <vt:lpstr>AMBIENT_TEMP</vt:lpstr>
      <vt:lpstr>BED_PACK_DENSITY</vt:lpstr>
      <vt:lpstr>BED_PARTICLE_DIAMETER</vt:lpstr>
      <vt:lpstr>BED_SHAPE_FACTOR</vt:lpstr>
      <vt:lpstr>BED_VOID_FRACTION</vt:lpstr>
      <vt:lpstr>CO2_COST</vt:lpstr>
      <vt:lpstr>CO2_LOSS</vt:lpstr>
      <vt:lpstr>COST_FACTOR</vt:lpstr>
      <vt:lpstr>CUBE_PACKED_FACTOR</vt:lpstr>
      <vt:lpstr>DF_SIFT</vt:lpstr>
      <vt:lpstr>EE_COST</vt:lpstr>
      <vt:lpstr>EE_ZONE100</vt:lpstr>
      <vt:lpstr>EE_ZONE200</vt:lpstr>
      <vt:lpstr>EE_ZONE300</vt:lpstr>
      <vt:lpstr>ENERGY_FACTOR</vt:lpstr>
      <vt:lpstr>ENGINEER_SALARY</vt:lpstr>
      <vt:lpstr>EQ_RATIO</vt:lpstr>
      <vt:lpstr>EXT_TIME</vt:lpstr>
      <vt:lpstr>EXT_YIELD</vt:lpstr>
      <vt:lpstr>EXTRACT_SALE_PRICE</vt:lpstr>
      <vt:lpstr>EXTRACTOR_DIAMETER</vt:lpstr>
      <vt:lpstr>EXTRACTOR_LENGTH</vt:lpstr>
      <vt:lpstr>FEED</vt:lpstr>
      <vt:lpstr>HEX_PDROP</vt:lpstr>
      <vt:lpstr>INTEREST_RATE</vt:lpstr>
      <vt:lpstr>L_D_RATIO</vt:lpstr>
      <vt:lpstr>MASS_FLOW</vt:lpstr>
      <vt:lpstr>MAX_FILL_VOLUME</vt:lpstr>
      <vt:lpstr>MAX_YIELD</vt:lpstr>
      <vt:lpstr>MOISTURE_FINAL</vt:lpstr>
      <vt:lpstr>MOISTURE_INITIAL</vt:lpstr>
      <vt:lpstr>N_EXTRACTION_PER_OPERDAY</vt:lpstr>
      <vt:lpstr>N2_COST</vt:lpstr>
      <vt:lpstr>OPER_DAY</vt:lpstr>
      <vt:lpstr>OPER_YEAR</vt:lpstr>
      <vt:lpstr>OPERATION_PRESS</vt:lpstr>
      <vt:lpstr>OPERATION_TEMP</vt:lpstr>
      <vt:lpstr>OPERATOR_SALARY</vt:lpstr>
      <vt:lpstr>PRESSURE_ATM</vt:lpstr>
      <vt:lpstr>PRODUCT</vt:lpstr>
      <vt:lpstr>PUMP_DRIVER_EFF</vt:lpstr>
      <vt:lpstr>PUMP_EFFICIENCY</vt:lpstr>
      <vt:lpstr>RAW_TOTAL</vt:lpstr>
      <vt:lpstr>RAW_TOTAL_DRY</vt:lpstr>
      <vt:lpstr>RAW_TOTAL_DRYSIFT</vt:lpstr>
      <vt:lpstr>RAW_TOTAL_LOSS</vt:lpstr>
      <vt:lpstr>RM_COST</vt:lpstr>
      <vt:lpstr>SEED_BULK_DENSITY</vt:lpstr>
      <vt:lpstr>SOLVENT_FEED_RATIO</vt:lpstr>
      <vt:lpstr>SPHERE_PACKED_FACTOR</vt:lpstr>
      <vt:lpstr>SUPERVISOR_SALARY</vt:lpstr>
      <vt:lpstr>TAX_RATE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DeLaCruz, Camilo</dc:creator>
  <cp:keywords/>
  <dc:description/>
  <cp:lastModifiedBy>JUAN CAMILO DE LA CRUZ ALZATE</cp:lastModifiedBy>
  <cp:revision/>
  <dcterms:created xsi:type="dcterms:W3CDTF">2023-09-24T18:48:09Z</dcterms:created>
  <dcterms:modified xsi:type="dcterms:W3CDTF">2024-01-07T07:01:57Z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0x0101001ED15A9EB5DF524085DADD4C820C32C9</vt:lpwstr>
  </property>
</Properties>
</file>